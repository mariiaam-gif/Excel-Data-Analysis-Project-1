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TownTech\Downloads\"/>
    </mc:Choice>
  </mc:AlternateContent>
  <xr:revisionPtr revIDLastSave="0" documentId="8_{75548CEA-80EB-4AFE-98AA-033E2D008B74}" xr6:coauthVersionLast="47" xr6:coauthVersionMax="47" xr10:uidLastSave="{00000000-0000-0000-0000-000000000000}"/>
  <bookViews>
    <workbookView xWindow="-108" yWindow="-108" windowWidth="23256" windowHeight="12576" activeTab="1" xr2:uid="{00000000-000D-0000-FFFF-FFFF00000000}"/>
  </bookViews>
  <sheets>
    <sheet name="bike_buyers" sheetId="1" r:id="rId1"/>
    <sheet name="working sheet " sheetId="2" r:id="rId2"/>
    <sheet name="dashboard" sheetId="3" r:id="rId3"/>
    <sheet name="pivot table " sheetId="4" r:id="rId4"/>
  </sheets>
  <definedNames>
    <definedName name="_xlnm._FilterDatabase" localSheetId="0" hidden="1">bike_buyers!$A$1:$M$1001</definedName>
    <definedName name="_xlnm._FilterDatabase" localSheetId="1" hidden="1">'working sheet '!$A$1:$N$1001</definedName>
    <definedName name="Slicer_Education">#N/A</definedName>
    <definedName name="Slicer_Marital_Status">#N/A</definedName>
    <definedName name="Slicer_Region">#N/A</definedName>
  </definedNames>
  <calcPr calcId="18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4" i="2" l="1"/>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2" i="2"/>
</calcChain>
</file>

<file path=xl/sharedStrings.xml><?xml version="1.0" encoding="utf-8"?>
<sst xmlns="http://schemas.openxmlformats.org/spreadsheetml/2006/main" count="16279" uniqueCount="53">
  <si>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</si>
  <si>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</si>
  <si>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</si>
  <si>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</si>
  <si>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</si>
  <si>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</si>
  <si>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</si>
  <si>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</si>
  <si>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</si>
  <si>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</si>
  <si>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</si>
  <si>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</si>
  <si>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</si>
  <si>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</si>
  <si>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</si>
  <si>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</si>
  <si>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</si>
  <si>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</si>
  <si>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</si>
  <si>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</si>
  <si>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</si>
  <si>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</si>
  <si>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</si>
  <si>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</si>
  <si>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</si>
  <si>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</si>
  <si>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</si>
  <si>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</si>
  <si>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</si>
  <si>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</si>
  <si>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</si>
  <si>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</si>
  <si>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</si>
  <si>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</si>
  <si>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</si>
  <si>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</si>
  <si>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</si>
  <si>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Singel</t>
  </si>
  <si>
    <t>Male</t>
  </si>
  <si>
    <t>felmale</t>
  </si>
  <si>
    <t>Age Brackets</t>
  </si>
  <si>
    <t>Row Labels</t>
  </si>
  <si>
    <t>Grand Total</t>
  </si>
  <si>
    <t>Average of Income</t>
  </si>
  <si>
    <t>Column Labels</t>
  </si>
  <si>
    <t>Count of Purchased Bike</t>
  </si>
  <si>
    <t>Adolescent</t>
  </si>
  <si>
    <t>Middle Age</t>
  </si>
  <si>
    <t>Old</t>
  </si>
  <si>
    <t>Total Count of Purchased Bike</t>
  </si>
  <si>
    <t>Total Sum of Age</t>
  </si>
  <si>
    <t>Sum of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</si>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</sst>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C09]#,##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
      <sz val="36"/>
      <color theme="1"/>
      <name val="Bahnschrift SemiBold"/>
      <family val="2"/>
    </font>
    <font>
      <sz val="48"/>
      <color theme="0"/>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3" borderId="0" xfId="0" applyFont="1" applyFill="1"/>
    <xf numFmtId="0" fontId="20" fillId="33" borderId="0" xfId="0" applyFont="1" applyFill="1"/>
    <xf numFmtId="0" fontId="21" fillId="33" borderId="0" xfId="0" applyFont="1" applyFill="1" applyAlignment="1">
      <alignment horizontal="left" vertical="center"/>
    </xf>
    <xf numFmtId="0" fontId="0" fillId="0" borderId="0" xfId="0" applyNumberFormat="1"/>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(6)(AutoRecovered) #1.xlsx]pivot table !PivotTable2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  </a:t>
            </a:r>
            <a:endParaRPr lang="en-US"/>
          </a:p>
        </c:rich>
      </c:tx>
      <c:layout>
        <c:manualLayout>
          <c:xMode val="edge"/>
          <c:yMode val="edge"/>
          <c:x val="0.3154322814911294"/>
          <c:y val="6.20264448076066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7417826910709"/>
          <c:y val="0.1360282743423038"/>
          <c:w val="0.59765507436570431"/>
          <c:h val="0.65853091280256637"/>
        </c:manualLayout>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cat>
            <c:strRef>
              <c:f>'pivot table '!$A$5:$A$7</c:f>
              <c:strCache>
                <c:ptCount val="2"/>
                <c:pt idx="0">
                  <c:v>felmale</c:v>
                </c:pt>
                <c:pt idx="1">
                  <c:v>Male</c:v>
                </c:pt>
              </c:strCache>
            </c:strRef>
          </c:cat>
          <c:val>
            <c:numRef>
              <c:f>'pivot table '!$B$5:$B$7</c:f>
              <c:numCache>
                <c:formatCode>[$$-C09]#,##0.00</c:formatCode>
                <c:ptCount val="2"/>
                <c:pt idx="0">
                  <c:v>85000</c:v>
                </c:pt>
                <c:pt idx="1">
                  <c:v>78181.818181818177</c:v>
                </c:pt>
              </c:numCache>
            </c:numRef>
          </c:val>
          <c:extLst>
            <c:ext xmlns:c16="http://schemas.microsoft.com/office/drawing/2014/chart" uri="{C3380CC4-5D6E-409C-BE32-E72D297353CC}">
              <c16:uniqueId val="{00000000-7D21-4032-86D4-1E371B36385B}"/>
            </c:ext>
          </c:extLst>
        </c:ser>
        <c:ser>
          <c:idx val="1"/>
          <c:order val="1"/>
          <c:tx>
            <c:strRef>
              <c:f>'pivot table '!$C$3:$C$4</c:f>
              <c:strCache>
                <c:ptCount val="1"/>
                <c:pt idx="0">
                  <c:v>Yes</c:v>
                </c:pt>
              </c:strCache>
            </c:strRef>
          </c:tx>
          <c:spPr>
            <a:solidFill>
              <a:schemeClr val="accent3"/>
            </a:solidFill>
            <a:ln>
              <a:noFill/>
            </a:ln>
            <a:effectLst/>
          </c:spPr>
          <c:invertIfNegative val="0"/>
          <c:cat>
            <c:strRef>
              <c:f>'pivot table '!$A$5:$A$7</c:f>
              <c:strCache>
                <c:ptCount val="2"/>
                <c:pt idx="0">
                  <c:v>felmale</c:v>
                </c:pt>
                <c:pt idx="1">
                  <c:v>Male</c:v>
                </c:pt>
              </c:strCache>
            </c:strRef>
          </c:cat>
          <c:val>
            <c:numRef>
              <c:f>'pivot table '!$C$5:$C$7</c:f>
              <c:numCache>
                <c:formatCode>[$$-C09]#,##0.00</c:formatCode>
                <c:ptCount val="2"/>
                <c:pt idx="0">
                  <c:v>68750</c:v>
                </c:pt>
                <c:pt idx="1">
                  <c:v>72727.272727272721</c:v>
                </c:pt>
              </c:numCache>
            </c:numRef>
          </c:val>
          <c:extLst>
            <c:ext xmlns:c16="http://schemas.microsoft.com/office/drawing/2014/chart" uri="{C3380CC4-5D6E-409C-BE32-E72D297353CC}">
              <c16:uniqueId val="{00000001-7D21-4032-86D4-1E371B36385B}"/>
            </c:ext>
          </c:extLst>
        </c:ser>
        <c:dLbls>
          <c:showLegendKey val="0"/>
          <c:showVal val="0"/>
          <c:showCatName val="0"/>
          <c:showSerName val="0"/>
          <c:showPercent val="0"/>
          <c:showBubbleSize val="0"/>
        </c:dLbls>
        <c:gapWidth val="219"/>
        <c:overlap val="-27"/>
        <c:axId val="470051008"/>
        <c:axId val="470048488"/>
      </c:barChart>
      <c:catAx>
        <c:axId val="470051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48488"/>
        <c:crosses val="autoZero"/>
        <c:auto val="1"/>
        <c:lblAlgn val="ctr"/>
        <c:lblOffset val="100"/>
        <c:noMultiLvlLbl val="0"/>
      </c:catAx>
      <c:valAx>
        <c:axId val="470048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51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(6)(AutoRecovered) #1.xlsx]pivot table !PivotTable3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'!$B$23:$B$24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 '!$A$25:$A$30</c:f>
              <c:strCache>
                <c:ptCount val="5"/>
                <c:pt idx="0">
                  <c:v>0-1 Miles</c:v>
                </c:pt>
                <c:pt idx="1">
                  <c:v>10+ Miles</c:v>
                </c:pt>
                <c:pt idx="2">
                  <c:v>1-2 Miles</c:v>
                </c:pt>
                <c:pt idx="3">
                  <c:v>2-5 Miles</c:v>
                </c:pt>
                <c:pt idx="4">
                  <c:v>5-10 Miles</c:v>
                </c:pt>
              </c:strCache>
            </c:strRef>
          </c:cat>
          <c:val>
            <c:numRef>
              <c:f>'pivot table '!$B$25:$B$30</c:f>
              <c:numCache>
                <c:formatCode>General</c:formatCode>
                <c:ptCount val="5"/>
                <c:pt idx="0">
                  <c:v>2</c:v>
                </c:pt>
                <c:pt idx="1">
                  <c:v>4</c:v>
                </c:pt>
                <c:pt idx="2">
                  <c:v>2</c:v>
                </c:pt>
                <c:pt idx="3">
                  <c:v>4</c:v>
                </c:pt>
                <c:pt idx="4">
                  <c:v>3</c:v>
                </c:pt>
              </c:numCache>
            </c:numRef>
          </c:val>
          <c:smooth val="0"/>
          <c:extLst>
            <c:ext xmlns:c16="http://schemas.microsoft.com/office/drawing/2014/chart" uri="{C3380CC4-5D6E-409C-BE32-E72D297353CC}">
              <c16:uniqueId val="{00000000-23EC-4828-BE40-B24A5C49164C}"/>
            </c:ext>
          </c:extLst>
        </c:ser>
        <c:ser>
          <c:idx val="1"/>
          <c:order val="1"/>
          <c:tx>
            <c:strRef>
              <c:f>'pivot table '!$C$23:$C$24</c:f>
              <c:strCache>
                <c:ptCount val="1"/>
                <c:pt idx="0">
                  <c:v>Yes</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'pivot table '!$A$25:$A$30</c:f>
              <c:strCache>
                <c:ptCount val="5"/>
                <c:pt idx="0">
                  <c:v>0-1 Miles</c:v>
                </c:pt>
                <c:pt idx="1">
                  <c:v>10+ Miles</c:v>
                </c:pt>
                <c:pt idx="2">
                  <c:v>1-2 Miles</c:v>
                </c:pt>
                <c:pt idx="3">
                  <c:v>2-5 Miles</c:v>
                </c:pt>
                <c:pt idx="4">
                  <c:v>5-10 Miles</c:v>
                </c:pt>
              </c:strCache>
            </c:strRef>
          </c:cat>
          <c:val>
            <c:numRef>
              <c:f>'pivot table '!$C$25:$C$30</c:f>
              <c:numCache>
                <c:formatCode>General</c:formatCode>
                <c:ptCount val="5"/>
                <c:pt idx="0">
                  <c:v>9</c:v>
                </c:pt>
                <c:pt idx="1">
                  <c:v>2</c:v>
                </c:pt>
                <c:pt idx="2">
                  <c:v>3</c:v>
                </c:pt>
                <c:pt idx="3">
                  <c:v>3</c:v>
                </c:pt>
                <c:pt idx="4">
                  <c:v>2</c:v>
                </c:pt>
              </c:numCache>
            </c:numRef>
          </c:val>
          <c:smooth val="0"/>
          <c:extLst>
            <c:ext xmlns:c16="http://schemas.microsoft.com/office/drawing/2014/chart" uri="{C3380CC4-5D6E-409C-BE32-E72D297353CC}">
              <c16:uniqueId val="{00000001-23EC-4828-BE40-B24A5C49164C}"/>
            </c:ext>
          </c:extLst>
        </c:ser>
        <c:dLbls>
          <c:showLegendKey val="0"/>
          <c:showVal val="0"/>
          <c:showCatName val="0"/>
          <c:showSerName val="0"/>
          <c:showPercent val="0"/>
          <c:showBubbleSize val="0"/>
        </c:dLbls>
        <c:marker val="1"/>
        <c:smooth val="0"/>
        <c:axId val="470050288"/>
        <c:axId val="470055328"/>
      </c:lineChart>
      <c:catAx>
        <c:axId val="4700502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0055328"/>
        <c:crosses val="autoZero"/>
        <c:auto val="1"/>
        <c:lblAlgn val="ctr"/>
        <c:lblOffset val="100"/>
        <c:noMultiLvlLbl val="0"/>
      </c:catAx>
      <c:valAx>
        <c:axId val="4700553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005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(6)(AutoRecovered) #1.xlsx]pivot table !PivotTable6</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prackets</a:t>
            </a:r>
          </a:p>
        </c:rich>
      </c:tx>
      <c:layout>
        <c:manualLayout>
          <c:xMode val="edge"/>
          <c:yMode val="edge"/>
          <c:x val="0.35472196440562703"/>
          <c:y val="5.29329519203768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114576014766278E-2"/>
          <c:y val="0.14041702298108805"/>
          <c:w val="0.62952057635865788"/>
          <c:h val="0.70221609025854914"/>
        </c:manualLayout>
      </c:layout>
      <c:lineChart>
        <c:grouping val="standard"/>
        <c:varyColors val="0"/>
        <c:ser>
          <c:idx val="0"/>
          <c:order val="0"/>
          <c:tx>
            <c:strRef>
              <c:f>'pivot table '!$B$63:$B$65</c:f>
              <c:strCache>
                <c:ptCount val="1"/>
                <c:pt idx="0">
                  <c:v>No - Count of Purchased Bike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'!$A$66:$A$84</c:f>
              <c:strCache>
                <c:ptCount val="18"/>
                <c:pt idx="0">
                  <c:v>26</c:v>
                </c:pt>
                <c:pt idx="1">
                  <c:v>27</c:v>
                </c:pt>
                <c:pt idx="2">
                  <c:v>29</c:v>
                </c:pt>
                <c:pt idx="3">
                  <c:v>30</c:v>
                </c:pt>
                <c:pt idx="4">
                  <c:v>32</c:v>
                </c:pt>
                <c:pt idx="5">
                  <c:v>36</c:v>
                </c:pt>
                <c:pt idx="6">
                  <c:v>37</c:v>
                </c:pt>
                <c:pt idx="7">
                  <c:v>38</c:v>
                </c:pt>
                <c:pt idx="8">
                  <c:v>40</c:v>
                </c:pt>
                <c:pt idx="9">
                  <c:v>41</c:v>
                </c:pt>
                <c:pt idx="10">
                  <c:v>43</c:v>
                </c:pt>
                <c:pt idx="11">
                  <c:v>46</c:v>
                </c:pt>
                <c:pt idx="12">
                  <c:v>47</c:v>
                </c:pt>
                <c:pt idx="13">
                  <c:v>48</c:v>
                </c:pt>
                <c:pt idx="14">
                  <c:v>52</c:v>
                </c:pt>
                <c:pt idx="15">
                  <c:v>65</c:v>
                </c:pt>
                <c:pt idx="16">
                  <c:v>66</c:v>
                </c:pt>
                <c:pt idx="17">
                  <c:v>67</c:v>
                </c:pt>
              </c:strCache>
            </c:strRef>
          </c:cat>
          <c:val>
            <c:numRef>
              <c:f>'pivot table '!$B$66:$B$84</c:f>
              <c:numCache>
                <c:formatCode>General</c:formatCode>
                <c:ptCount val="18"/>
                <c:pt idx="3">
                  <c:v>1</c:v>
                </c:pt>
                <c:pt idx="4">
                  <c:v>1</c:v>
                </c:pt>
                <c:pt idx="6">
                  <c:v>1</c:v>
                </c:pt>
                <c:pt idx="8">
                  <c:v>2</c:v>
                </c:pt>
                <c:pt idx="9">
                  <c:v>1</c:v>
                </c:pt>
                <c:pt idx="10">
                  <c:v>1</c:v>
                </c:pt>
                <c:pt idx="11">
                  <c:v>2</c:v>
                </c:pt>
                <c:pt idx="12">
                  <c:v>3</c:v>
                </c:pt>
                <c:pt idx="13">
                  <c:v>1</c:v>
                </c:pt>
                <c:pt idx="15">
                  <c:v>1</c:v>
                </c:pt>
                <c:pt idx="17">
                  <c:v>1</c:v>
                </c:pt>
              </c:numCache>
            </c:numRef>
          </c:val>
          <c:smooth val="0"/>
          <c:extLst>
            <c:ext xmlns:c16="http://schemas.microsoft.com/office/drawing/2014/chart" uri="{C3380CC4-5D6E-409C-BE32-E72D297353CC}">
              <c16:uniqueId val="{00000000-455D-46A9-BB74-487ADB48127B}"/>
            </c:ext>
          </c:extLst>
        </c:ser>
        <c:ser>
          <c:idx val="1"/>
          <c:order val="1"/>
          <c:tx>
            <c:strRef>
              <c:f>'pivot table '!$C$63:$C$65</c:f>
              <c:strCache>
                <c:ptCount val="1"/>
                <c:pt idx="0">
                  <c:v>No - Sum of Age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 '!$A$66:$A$84</c:f>
              <c:strCache>
                <c:ptCount val="18"/>
                <c:pt idx="0">
                  <c:v>26</c:v>
                </c:pt>
                <c:pt idx="1">
                  <c:v>27</c:v>
                </c:pt>
                <c:pt idx="2">
                  <c:v>29</c:v>
                </c:pt>
                <c:pt idx="3">
                  <c:v>30</c:v>
                </c:pt>
                <c:pt idx="4">
                  <c:v>32</c:v>
                </c:pt>
                <c:pt idx="5">
                  <c:v>36</c:v>
                </c:pt>
                <c:pt idx="6">
                  <c:v>37</c:v>
                </c:pt>
                <c:pt idx="7">
                  <c:v>38</c:v>
                </c:pt>
                <c:pt idx="8">
                  <c:v>40</c:v>
                </c:pt>
                <c:pt idx="9">
                  <c:v>41</c:v>
                </c:pt>
                <c:pt idx="10">
                  <c:v>43</c:v>
                </c:pt>
                <c:pt idx="11">
                  <c:v>46</c:v>
                </c:pt>
                <c:pt idx="12">
                  <c:v>47</c:v>
                </c:pt>
                <c:pt idx="13">
                  <c:v>48</c:v>
                </c:pt>
                <c:pt idx="14">
                  <c:v>52</c:v>
                </c:pt>
                <c:pt idx="15">
                  <c:v>65</c:v>
                </c:pt>
                <c:pt idx="16">
                  <c:v>66</c:v>
                </c:pt>
                <c:pt idx="17">
                  <c:v>67</c:v>
                </c:pt>
              </c:strCache>
            </c:strRef>
          </c:cat>
          <c:val>
            <c:numRef>
              <c:f>'pivot table '!$C$66:$C$84</c:f>
              <c:numCache>
                <c:formatCode>General</c:formatCode>
                <c:ptCount val="18"/>
                <c:pt idx="3">
                  <c:v>30</c:v>
                </c:pt>
                <c:pt idx="4">
                  <c:v>32</c:v>
                </c:pt>
                <c:pt idx="6">
                  <c:v>37</c:v>
                </c:pt>
                <c:pt idx="8">
                  <c:v>80</c:v>
                </c:pt>
                <c:pt idx="9">
                  <c:v>41</c:v>
                </c:pt>
                <c:pt idx="10">
                  <c:v>43</c:v>
                </c:pt>
                <c:pt idx="11">
                  <c:v>92</c:v>
                </c:pt>
                <c:pt idx="12">
                  <c:v>141</c:v>
                </c:pt>
                <c:pt idx="13">
                  <c:v>48</c:v>
                </c:pt>
                <c:pt idx="15">
                  <c:v>65</c:v>
                </c:pt>
                <c:pt idx="17">
                  <c:v>67</c:v>
                </c:pt>
              </c:numCache>
            </c:numRef>
          </c:val>
          <c:smooth val="0"/>
          <c:extLst>
            <c:ext xmlns:c16="http://schemas.microsoft.com/office/drawing/2014/chart" uri="{C3380CC4-5D6E-409C-BE32-E72D297353CC}">
              <c16:uniqueId val="{00000001-455D-46A9-BB74-487ADB48127B}"/>
            </c:ext>
          </c:extLst>
        </c:ser>
        <c:ser>
          <c:idx val="2"/>
          <c:order val="2"/>
          <c:tx>
            <c:strRef>
              <c:f>'pivot table '!$D$63:$D$65</c:f>
              <c:strCache>
                <c:ptCount val="1"/>
                <c:pt idx="0">
                  <c:v>Yes - Count of Purchased Bike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 '!$A$66:$A$84</c:f>
              <c:strCache>
                <c:ptCount val="18"/>
                <c:pt idx="0">
                  <c:v>26</c:v>
                </c:pt>
                <c:pt idx="1">
                  <c:v>27</c:v>
                </c:pt>
                <c:pt idx="2">
                  <c:v>29</c:v>
                </c:pt>
                <c:pt idx="3">
                  <c:v>30</c:v>
                </c:pt>
                <c:pt idx="4">
                  <c:v>32</c:v>
                </c:pt>
                <c:pt idx="5">
                  <c:v>36</c:v>
                </c:pt>
                <c:pt idx="6">
                  <c:v>37</c:v>
                </c:pt>
                <c:pt idx="7">
                  <c:v>38</c:v>
                </c:pt>
                <c:pt idx="8">
                  <c:v>40</c:v>
                </c:pt>
                <c:pt idx="9">
                  <c:v>41</c:v>
                </c:pt>
                <c:pt idx="10">
                  <c:v>43</c:v>
                </c:pt>
                <c:pt idx="11">
                  <c:v>46</c:v>
                </c:pt>
                <c:pt idx="12">
                  <c:v>47</c:v>
                </c:pt>
                <c:pt idx="13">
                  <c:v>48</c:v>
                </c:pt>
                <c:pt idx="14">
                  <c:v>52</c:v>
                </c:pt>
                <c:pt idx="15">
                  <c:v>65</c:v>
                </c:pt>
                <c:pt idx="16">
                  <c:v>66</c:v>
                </c:pt>
                <c:pt idx="17">
                  <c:v>67</c:v>
                </c:pt>
              </c:strCache>
            </c:strRef>
          </c:cat>
          <c:val>
            <c:numRef>
              <c:f>'pivot table '!$D$66:$D$84</c:f>
              <c:numCache>
                <c:formatCode>General</c:formatCode>
                <c:ptCount val="18"/>
                <c:pt idx="0">
                  <c:v>2</c:v>
                </c:pt>
                <c:pt idx="1">
                  <c:v>1</c:v>
                </c:pt>
                <c:pt idx="2">
                  <c:v>1</c:v>
                </c:pt>
                <c:pt idx="4">
                  <c:v>1</c:v>
                </c:pt>
                <c:pt idx="5">
                  <c:v>1</c:v>
                </c:pt>
                <c:pt idx="6">
                  <c:v>1</c:v>
                </c:pt>
                <c:pt idx="7">
                  <c:v>2</c:v>
                </c:pt>
                <c:pt idx="8">
                  <c:v>1</c:v>
                </c:pt>
                <c:pt idx="9">
                  <c:v>1</c:v>
                </c:pt>
                <c:pt idx="10">
                  <c:v>1</c:v>
                </c:pt>
                <c:pt idx="11">
                  <c:v>1</c:v>
                </c:pt>
                <c:pt idx="12">
                  <c:v>2</c:v>
                </c:pt>
                <c:pt idx="13">
                  <c:v>1</c:v>
                </c:pt>
                <c:pt idx="14">
                  <c:v>1</c:v>
                </c:pt>
                <c:pt idx="16">
                  <c:v>2</c:v>
                </c:pt>
              </c:numCache>
            </c:numRef>
          </c:val>
          <c:smooth val="0"/>
          <c:extLst>
            <c:ext xmlns:c16="http://schemas.microsoft.com/office/drawing/2014/chart" uri="{C3380CC4-5D6E-409C-BE32-E72D297353CC}">
              <c16:uniqueId val="{00000002-455D-46A9-BB74-487ADB48127B}"/>
            </c:ext>
          </c:extLst>
        </c:ser>
        <c:ser>
          <c:idx val="3"/>
          <c:order val="3"/>
          <c:tx>
            <c:strRef>
              <c:f>'pivot table '!$E$63:$E$65</c:f>
              <c:strCache>
                <c:ptCount val="1"/>
                <c:pt idx="0">
                  <c:v>Yes - Sum of Age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table '!$A$66:$A$84</c:f>
              <c:strCache>
                <c:ptCount val="18"/>
                <c:pt idx="0">
                  <c:v>26</c:v>
                </c:pt>
                <c:pt idx="1">
                  <c:v>27</c:v>
                </c:pt>
                <c:pt idx="2">
                  <c:v>29</c:v>
                </c:pt>
                <c:pt idx="3">
                  <c:v>30</c:v>
                </c:pt>
                <c:pt idx="4">
                  <c:v>32</c:v>
                </c:pt>
                <c:pt idx="5">
                  <c:v>36</c:v>
                </c:pt>
                <c:pt idx="6">
                  <c:v>37</c:v>
                </c:pt>
                <c:pt idx="7">
                  <c:v>38</c:v>
                </c:pt>
                <c:pt idx="8">
                  <c:v>40</c:v>
                </c:pt>
                <c:pt idx="9">
                  <c:v>41</c:v>
                </c:pt>
                <c:pt idx="10">
                  <c:v>43</c:v>
                </c:pt>
                <c:pt idx="11">
                  <c:v>46</c:v>
                </c:pt>
                <c:pt idx="12">
                  <c:v>47</c:v>
                </c:pt>
                <c:pt idx="13">
                  <c:v>48</c:v>
                </c:pt>
                <c:pt idx="14">
                  <c:v>52</c:v>
                </c:pt>
                <c:pt idx="15">
                  <c:v>65</c:v>
                </c:pt>
                <c:pt idx="16">
                  <c:v>66</c:v>
                </c:pt>
                <c:pt idx="17">
                  <c:v>67</c:v>
                </c:pt>
              </c:strCache>
            </c:strRef>
          </c:cat>
          <c:val>
            <c:numRef>
              <c:f>'pivot table '!$E$66:$E$84</c:f>
              <c:numCache>
                <c:formatCode>General</c:formatCode>
                <c:ptCount val="18"/>
                <c:pt idx="0">
                  <c:v>52</c:v>
                </c:pt>
                <c:pt idx="1">
                  <c:v>27</c:v>
                </c:pt>
                <c:pt idx="2">
                  <c:v>29</c:v>
                </c:pt>
                <c:pt idx="4">
                  <c:v>32</c:v>
                </c:pt>
                <c:pt idx="5">
                  <c:v>36</c:v>
                </c:pt>
                <c:pt idx="6">
                  <c:v>37</c:v>
                </c:pt>
                <c:pt idx="7">
                  <c:v>76</c:v>
                </c:pt>
                <c:pt idx="8">
                  <c:v>40</c:v>
                </c:pt>
                <c:pt idx="9">
                  <c:v>41</c:v>
                </c:pt>
                <c:pt idx="10">
                  <c:v>43</c:v>
                </c:pt>
                <c:pt idx="11">
                  <c:v>46</c:v>
                </c:pt>
                <c:pt idx="12">
                  <c:v>94</c:v>
                </c:pt>
                <c:pt idx="13">
                  <c:v>48</c:v>
                </c:pt>
                <c:pt idx="14">
                  <c:v>52</c:v>
                </c:pt>
                <c:pt idx="16">
                  <c:v>132</c:v>
                </c:pt>
              </c:numCache>
            </c:numRef>
          </c:val>
          <c:smooth val="0"/>
          <c:extLst>
            <c:ext xmlns:c16="http://schemas.microsoft.com/office/drawing/2014/chart" uri="{C3380CC4-5D6E-409C-BE32-E72D297353CC}">
              <c16:uniqueId val="{00000003-455D-46A9-BB74-487ADB48127B}"/>
            </c:ext>
          </c:extLst>
        </c:ser>
        <c:dLbls>
          <c:showLegendKey val="0"/>
          <c:showVal val="0"/>
          <c:showCatName val="0"/>
          <c:showSerName val="0"/>
          <c:showPercent val="0"/>
          <c:showBubbleSize val="0"/>
        </c:dLbls>
        <c:marker val="1"/>
        <c:smooth val="0"/>
        <c:axId val="631641200"/>
        <c:axId val="631646960"/>
      </c:lineChart>
      <c:catAx>
        <c:axId val="63164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646960"/>
        <c:crosses val="autoZero"/>
        <c:auto val="1"/>
        <c:lblAlgn val="ctr"/>
        <c:lblOffset val="100"/>
        <c:noMultiLvlLbl val="0"/>
      </c:catAx>
      <c:valAx>
        <c:axId val="63164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64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(6)(AutoRecovered) #1.xlsx]pivot table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  </a:t>
            </a:r>
            <a:endParaRPr lang="en-US"/>
          </a:p>
        </c:rich>
      </c:tx>
      <c:layout>
        <c:manualLayout>
          <c:xMode val="edge"/>
          <c:yMode val="edge"/>
          <c:x val="0.3154322814911294"/>
          <c:y val="6.20264448076066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74169676158901"/>
          <c:y val="0.17394425048284062"/>
          <c:w val="0.59765507436570431"/>
          <c:h val="0.65853091280256637"/>
        </c:manualLayout>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cat>
            <c:strRef>
              <c:f>'pivot table '!$A$5:$A$7</c:f>
              <c:strCache>
                <c:ptCount val="2"/>
                <c:pt idx="0">
                  <c:v>felmale</c:v>
                </c:pt>
                <c:pt idx="1">
                  <c:v>Male</c:v>
                </c:pt>
              </c:strCache>
            </c:strRef>
          </c:cat>
          <c:val>
            <c:numRef>
              <c:f>'pivot table '!$B$5:$B$7</c:f>
              <c:numCache>
                <c:formatCode>[$$-C09]#,##0.00</c:formatCode>
                <c:ptCount val="2"/>
                <c:pt idx="0">
                  <c:v>85000</c:v>
                </c:pt>
                <c:pt idx="1">
                  <c:v>78181.818181818177</c:v>
                </c:pt>
              </c:numCache>
            </c:numRef>
          </c:val>
          <c:extLst>
            <c:ext xmlns:c16="http://schemas.microsoft.com/office/drawing/2014/chart" uri="{C3380CC4-5D6E-409C-BE32-E72D297353CC}">
              <c16:uniqueId val="{00000000-9486-489D-94C6-F446A9213764}"/>
            </c:ext>
          </c:extLst>
        </c:ser>
        <c:ser>
          <c:idx val="1"/>
          <c:order val="1"/>
          <c:tx>
            <c:strRef>
              <c:f>'pivot table '!$C$3:$C$4</c:f>
              <c:strCache>
                <c:ptCount val="1"/>
                <c:pt idx="0">
                  <c:v>Yes</c:v>
                </c:pt>
              </c:strCache>
            </c:strRef>
          </c:tx>
          <c:spPr>
            <a:solidFill>
              <a:schemeClr val="accent2"/>
            </a:solidFill>
            <a:ln>
              <a:noFill/>
            </a:ln>
            <a:effectLst/>
          </c:spPr>
          <c:invertIfNegative val="0"/>
          <c:cat>
            <c:strRef>
              <c:f>'pivot table '!$A$5:$A$7</c:f>
              <c:strCache>
                <c:ptCount val="2"/>
                <c:pt idx="0">
                  <c:v>felmale</c:v>
                </c:pt>
                <c:pt idx="1">
                  <c:v>Male</c:v>
                </c:pt>
              </c:strCache>
            </c:strRef>
          </c:cat>
          <c:val>
            <c:numRef>
              <c:f>'pivot table '!$C$5:$C$7</c:f>
              <c:numCache>
                <c:formatCode>[$$-C09]#,##0.00</c:formatCode>
                <c:ptCount val="2"/>
                <c:pt idx="0">
                  <c:v>68750</c:v>
                </c:pt>
                <c:pt idx="1">
                  <c:v>72727.272727272721</c:v>
                </c:pt>
              </c:numCache>
            </c:numRef>
          </c:val>
          <c:extLst>
            <c:ext xmlns:c16="http://schemas.microsoft.com/office/drawing/2014/chart" uri="{C3380CC4-5D6E-409C-BE32-E72D297353CC}">
              <c16:uniqueId val="{00000001-9486-489D-94C6-F446A9213764}"/>
            </c:ext>
          </c:extLst>
        </c:ser>
        <c:dLbls>
          <c:showLegendKey val="0"/>
          <c:showVal val="0"/>
          <c:showCatName val="0"/>
          <c:showSerName val="0"/>
          <c:showPercent val="0"/>
          <c:showBubbleSize val="0"/>
        </c:dLbls>
        <c:gapWidth val="219"/>
        <c:overlap val="-27"/>
        <c:axId val="470051008"/>
        <c:axId val="470048488"/>
      </c:barChart>
      <c:catAx>
        <c:axId val="470051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48488"/>
        <c:crosses val="autoZero"/>
        <c:auto val="1"/>
        <c:lblAlgn val="ctr"/>
        <c:lblOffset val="100"/>
        <c:noMultiLvlLbl val="0"/>
      </c:catAx>
      <c:valAx>
        <c:axId val="470048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51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(6)(AutoRecovered) #1.xlsx]pivot table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'!$B$23:$B$24</c:f>
              <c:strCache>
                <c:ptCount val="1"/>
                <c:pt idx="0">
                  <c:v>No</c:v>
                </c:pt>
              </c:strCache>
            </c:strRef>
          </c:tx>
          <c:spPr>
            <a:ln w="28575" cap="rnd">
              <a:solidFill>
                <a:schemeClr val="accent1"/>
              </a:solidFill>
              <a:round/>
            </a:ln>
            <a:effectLst/>
          </c:spPr>
          <c:marker>
            <c:symbol val="none"/>
          </c:marker>
          <c:cat>
            <c:strRef>
              <c:f>'pivot table '!$A$25:$A$30</c:f>
              <c:strCache>
                <c:ptCount val="5"/>
                <c:pt idx="0">
                  <c:v>0-1 Miles</c:v>
                </c:pt>
                <c:pt idx="1">
                  <c:v>10+ Miles</c:v>
                </c:pt>
                <c:pt idx="2">
                  <c:v>1-2 Miles</c:v>
                </c:pt>
                <c:pt idx="3">
                  <c:v>2-5 Miles</c:v>
                </c:pt>
                <c:pt idx="4">
                  <c:v>5-10 Miles</c:v>
                </c:pt>
              </c:strCache>
            </c:strRef>
          </c:cat>
          <c:val>
            <c:numRef>
              <c:f>'pivot table '!$B$25:$B$30</c:f>
              <c:numCache>
                <c:formatCode>General</c:formatCode>
                <c:ptCount val="5"/>
                <c:pt idx="0">
                  <c:v>2</c:v>
                </c:pt>
                <c:pt idx="1">
                  <c:v>4</c:v>
                </c:pt>
                <c:pt idx="2">
                  <c:v>2</c:v>
                </c:pt>
                <c:pt idx="3">
                  <c:v>4</c:v>
                </c:pt>
                <c:pt idx="4">
                  <c:v>3</c:v>
                </c:pt>
              </c:numCache>
            </c:numRef>
          </c:val>
          <c:smooth val="0"/>
          <c:extLst>
            <c:ext xmlns:c16="http://schemas.microsoft.com/office/drawing/2014/chart" uri="{C3380CC4-5D6E-409C-BE32-E72D297353CC}">
              <c16:uniqueId val="{00000000-4B25-40E7-B2C1-C89B04F63AC9}"/>
            </c:ext>
          </c:extLst>
        </c:ser>
        <c:ser>
          <c:idx val="1"/>
          <c:order val="1"/>
          <c:tx>
            <c:strRef>
              <c:f>'pivot table '!$C$23:$C$24</c:f>
              <c:strCache>
                <c:ptCount val="1"/>
                <c:pt idx="0">
                  <c:v>Yes</c:v>
                </c:pt>
              </c:strCache>
            </c:strRef>
          </c:tx>
          <c:spPr>
            <a:ln w="28575" cap="rnd">
              <a:solidFill>
                <a:schemeClr val="accent2"/>
              </a:solidFill>
              <a:round/>
            </a:ln>
            <a:effectLst/>
          </c:spPr>
          <c:marker>
            <c:symbol val="none"/>
          </c:marker>
          <c:cat>
            <c:strRef>
              <c:f>'pivot table '!$A$25:$A$30</c:f>
              <c:strCache>
                <c:ptCount val="5"/>
                <c:pt idx="0">
                  <c:v>0-1 Miles</c:v>
                </c:pt>
                <c:pt idx="1">
                  <c:v>10+ Miles</c:v>
                </c:pt>
                <c:pt idx="2">
                  <c:v>1-2 Miles</c:v>
                </c:pt>
                <c:pt idx="3">
                  <c:v>2-5 Miles</c:v>
                </c:pt>
                <c:pt idx="4">
                  <c:v>5-10 Miles</c:v>
                </c:pt>
              </c:strCache>
            </c:strRef>
          </c:cat>
          <c:val>
            <c:numRef>
              <c:f>'pivot table '!$C$25:$C$30</c:f>
              <c:numCache>
                <c:formatCode>General</c:formatCode>
                <c:ptCount val="5"/>
                <c:pt idx="0">
                  <c:v>9</c:v>
                </c:pt>
                <c:pt idx="1">
                  <c:v>2</c:v>
                </c:pt>
                <c:pt idx="2">
                  <c:v>3</c:v>
                </c:pt>
                <c:pt idx="3">
                  <c:v>3</c:v>
                </c:pt>
                <c:pt idx="4">
                  <c:v>2</c:v>
                </c:pt>
              </c:numCache>
            </c:numRef>
          </c:val>
          <c:smooth val="0"/>
          <c:extLst>
            <c:ext xmlns:c16="http://schemas.microsoft.com/office/drawing/2014/chart" uri="{C3380CC4-5D6E-409C-BE32-E72D297353CC}">
              <c16:uniqueId val="{00000001-4B25-40E7-B2C1-C89B04F63AC9}"/>
            </c:ext>
          </c:extLst>
        </c:ser>
        <c:dLbls>
          <c:showLegendKey val="0"/>
          <c:showVal val="0"/>
          <c:showCatName val="0"/>
          <c:showSerName val="0"/>
          <c:showPercent val="0"/>
          <c:showBubbleSize val="0"/>
        </c:dLbls>
        <c:smooth val="0"/>
        <c:axId val="470050288"/>
        <c:axId val="470055328"/>
      </c:lineChart>
      <c:catAx>
        <c:axId val="470050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55328"/>
        <c:crosses val="autoZero"/>
        <c:auto val="1"/>
        <c:lblAlgn val="ctr"/>
        <c:lblOffset val="100"/>
        <c:noMultiLvlLbl val="0"/>
      </c:catAx>
      <c:valAx>
        <c:axId val="47005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5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(6)(AutoRecovered) #1.xlsx]pivot table !PivotTable4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32295328083989494"/>
          <c:y val="3.66730474480163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02540682414699"/>
          <c:y val="0.14712744240303297"/>
          <c:w val="0.6735301837270341"/>
          <c:h val="0.65853091280256637"/>
        </c:manualLayout>
      </c:layout>
      <c:lineChart>
        <c:grouping val="standard"/>
        <c:varyColors val="0"/>
        <c:ser>
          <c:idx val="0"/>
          <c:order val="0"/>
          <c:tx>
            <c:strRef>
              <c:f>'pivot table '!$B$45:$B$46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'!$A$47:$A$50</c:f>
              <c:strCache>
                <c:ptCount val="3"/>
                <c:pt idx="0">
                  <c:v>Adolescent</c:v>
                </c:pt>
                <c:pt idx="1">
                  <c:v>Middle Age</c:v>
                </c:pt>
                <c:pt idx="2">
                  <c:v>Old</c:v>
                </c:pt>
              </c:strCache>
            </c:strRef>
          </c:cat>
          <c:val>
            <c:numRef>
              <c:f>'pivot table '!$B$47:$B$50</c:f>
              <c:numCache>
                <c:formatCode>General</c:formatCode>
                <c:ptCount val="3"/>
                <c:pt idx="1">
                  <c:v>11</c:v>
                </c:pt>
                <c:pt idx="2">
                  <c:v>4</c:v>
                </c:pt>
              </c:numCache>
            </c:numRef>
          </c:val>
          <c:smooth val="0"/>
          <c:extLst>
            <c:ext xmlns:c16="http://schemas.microsoft.com/office/drawing/2014/chart" uri="{C3380CC4-5D6E-409C-BE32-E72D297353CC}">
              <c16:uniqueId val="{00000000-9771-4CA5-BA29-BBAEA69F64AE}"/>
            </c:ext>
          </c:extLst>
        </c:ser>
        <c:ser>
          <c:idx val="1"/>
          <c:order val="1"/>
          <c:tx>
            <c:strRef>
              <c:f>'pivot table '!$C$45:$C$46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'!$A$47:$A$50</c:f>
              <c:strCache>
                <c:ptCount val="3"/>
                <c:pt idx="0">
                  <c:v>Adolescent</c:v>
                </c:pt>
                <c:pt idx="1">
                  <c:v>Middle Age</c:v>
                </c:pt>
                <c:pt idx="2">
                  <c:v>Old</c:v>
                </c:pt>
              </c:strCache>
            </c:strRef>
          </c:cat>
          <c:val>
            <c:numRef>
              <c:f>'pivot table '!$C$47:$C$50</c:f>
              <c:numCache>
                <c:formatCode>General</c:formatCode>
                <c:ptCount val="3"/>
                <c:pt idx="0">
                  <c:v>3</c:v>
                </c:pt>
                <c:pt idx="1">
                  <c:v>12</c:v>
                </c:pt>
                <c:pt idx="2">
                  <c:v>4</c:v>
                </c:pt>
              </c:numCache>
            </c:numRef>
          </c:val>
          <c:smooth val="0"/>
          <c:extLst>
            <c:ext xmlns:c16="http://schemas.microsoft.com/office/drawing/2014/chart" uri="{C3380CC4-5D6E-409C-BE32-E72D297353CC}">
              <c16:uniqueId val="{00000001-9771-4CA5-BA29-BBAEA69F64AE}"/>
            </c:ext>
          </c:extLst>
        </c:ser>
        <c:dLbls>
          <c:showLegendKey val="0"/>
          <c:showVal val="0"/>
          <c:showCatName val="0"/>
          <c:showSerName val="0"/>
          <c:showPercent val="0"/>
          <c:showBubbleSize val="0"/>
        </c:dLbls>
        <c:marker val="1"/>
        <c:smooth val="0"/>
        <c:axId val="464166136"/>
        <c:axId val="464168656"/>
      </c:lineChart>
      <c:catAx>
        <c:axId val="464166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168656"/>
        <c:crosses val="autoZero"/>
        <c:auto val="1"/>
        <c:lblAlgn val="ctr"/>
        <c:lblOffset val="100"/>
        <c:noMultiLvlLbl val="0"/>
      </c:catAx>
      <c:valAx>
        <c:axId val="46416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166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(6)(AutoRecovered) #1.xlsx]pivot table !PivotTable6</c:name>
    <c:fmtId val="1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'!$B$63:$B$65</c:f>
              <c:strCache>
                <c:ptCount val="1"/>
                <c:pt idx="0">
                  <c:v>No - Count of Purchased Bike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'!$A$66:$A$84</c:f>
              <c:strCache>
                <c:ptCount val="18"/>
                <c:pt idx="0">
                  <c:v>26</c:v>
                </c:pt>
                <c:pt idx="1">
                  <c:v>27</c:v>
                </c:pt>
                <c:pt idx="2">
                  <c:v>29</c:v>
                </c:pt>
                <c:pt idx="3">
                  <c:v>30</c:v>
                </c:pt>
                <c:pt idx="4">
                  <c:v>32</c:v>
                </c:pt>
                <c:pt idx="5">
                  <c:v>36</c:v>
                </c:pt>
                <c:pt idx="6">
                  <c:v>37</c:v>
                </c:pt>
                <c:pt idx="7">
                  <c:v>38</c:v>
                </c:pt>
                <c:pt idx="8">
                  <c:v>40</c:v>
                </c:pt>
                <c:pt idx="9">
                  <c:v>41</c:v>
                </c:pt>
                <c:pt idx="10">
                  <c:v>43</c:v>
                </c:pt>
                <c:pt idx="11">
                  <c:v>46</c:v>
                </c:pt>
                <c:pt idx="12">
                  <c:v>47</c:v>
                </c:pt>
                <c:pt idx="13">
                  <c:v>48</c:v>
                </c:pt>
                <c:pt idx="14">
                  <c:v>52</c:v>
                </c:pt>
                <c:pt idx="15">
                  <c:v>65</c:v>
                </c:pt>
                <c:pt idx="16">
                  <c:v>66</c:v>
                </c:pt>
                <c:pt idx="17">
                  <c:v>67</c:v>
                </c:pt>
              </c:strCache>
            </c:strRef>
          </c:cat>
          <c:val>
            <c:numRef>
              <c:f>'pivot table '!$B$66:$B$84</c:f>
              <c:numCache>
                <c:formatCode>General</c:formatCode>
                <c:ptCount val="18"/>
                <c:pt idx="3">
                  <c:v>1</c:v>
                </c:pt>
                <c:pt idx="4">
                  <c:v>1</c:v>
                </c:pt>
                <c:pt idx="6">
                  <c:v>1</c:v>
                </c:pt>
                <c:pt idx="8">
                  <c:v>2</c:v>
                </c:pt>
                <c:pt idx="9">
                  <c:v>1</c:v>
                </c:pt>
                <c:pt idx="10">
                  <c:v>1</c:v>
                </c:pt>
                <c:pt idx="11">
                  <c:v>2</c:v>
                </c:pt>
                <c:pt idx="12">
                  <c:v>3</c:v>
                </c:pt>
                <c:pt idx="13">
                  <c:v>1</c:v>
                </c:pt>
                <c:pt idx="15">
                  <c:v>1</c:v>
                </c:pt>
                <c:pt idx="17">
                  <c:v>1</c:v>
                </c:pt>
              </c:numCache>
            </c:numRef>
          </c:val>
          <c:smooth val="0"/>
          <c:extLst>
            <c:ext xmlns:c16="http://schemas.microsoft.com/office/drawing/2014/chart" uri="{C3380CC4-5D6E-409C-BE32-E72D297353CC}">
              <c16:uniqueId val="{00000000-917F-4496-8A87-AFAA3CD699D3}"/>
            </c:ext>
          </c:extLst>
        </c:ser>
        <c:ser>
          <c:idx val="1"/>
          <c:order val="1"/>
          <c:tx>
            <c:strRef>
              <c:f>'pivot table '!$C$63:$C$65</c:f>
              <c:strCache>
                <c:ptCount val="1"/>
                <c:pt idx="0">
                  <c:v>No - Sum of Age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 '!$A$66:$A$84</c:f>
              <c:strCache>
                <c:ptCount val="18"/>
                <c:pt idx="0">
                  <c:v>26</c:v>
                </c:pt>
                <c:pt idx="1">
                  <c:v>27</c:v>
                </c:pt>
                <c:pt idx="2">
                  <c:v>29</c:v>
                </c:pt>
                <c:pt idx="3">
                  <c:v>30</c:v>
                </c:pt>
                <c:pt idx="4">
                  <c:v>32</c:v>
                </c:pt>
                <c:pt idx="5">
                  <c:v>36</c:v>
                </c:pt>
                <c:pt idx="6">
                  <c:v>37</c:v>
                </c:pt>
                <c:pt idx="7">
                  <c:v>38</c:v>
                </c:pt>
                <c:pt idx="8">
                  <c:v>40</c:v>
                </c:pt>
                <c:pt idx="9">
                  <c:v>41</c:v>
                </c:pt>
                <c:pt idx="10">
                  <c:v>43</c:v>
                </c:pt>
                <c:pt idx="11">
                  <c:v>46</c:v>
                </c:pt>
                <c:pt idx="12">
                  <c:v>47</c:v>
                </c:pt>
                <c:pt idx="13">
                  <c:v>48</c:v>
                </c:pt>
                <c:pt idx="14">
                  <c:v>52</c:v>
                </c:pt>
                <c:pt idx="15">
                  <c:v>65</c:v>
                </c:pt>
                <c:pt idx="16">
                  <c:v>66</c:v>
                </c:pt>
                <c:pt idx="17">
                  <c:v>67</c:v>
                </c:pt>
              </c:strCache>
            </c:strRef>
          </c:cat>
          <c:val>
            <c:numRef>
              <c:f>'pivot table '!$C$66:$C$84</c:f>
              <c:numCache>
                <c:formatCode>General</c:formatCode>
                <c:ptCount val="18"/>
                <c:pt idx="3">
                  <c:v>30</c:v>
                </c:pt>
                <c:pt idx="4">
                  <c:v>32</c:v>
                </c:pt>
                <c:pt idx="6">
                  <c:v>37</c:v>
                </c:pt>
                <c:pt idx="8">
                  <c:v>80</c:v>
                </c:pt>
                <c:pt idx="9">
                  <c:v>41</c:v>
                </c:pt>
                <c:pt idx="10">
                  <c:v>43</c:v>
                </c:pt>
                <c:pt idx="11">
                  <c:v>92</c:v>
                </c:pt>
                <c:pt idx="12">
                  <c:v>141</c:v>
                </c:pt>
                <c:pt idx="13">
                  <c:v>48</c:v>
                </c:pt>
                <c:pt idx="15">
                  <c:v>65</c:v>
                </c:pt>
                <c:pt idx="17">
                  <c:v>67</c:v>
                </c:pt>
              </c:numCache>
            </c:numRef>
          </c:val>
          <c:smooth val="0"/>
          <c:extLst>
            <c:ext xmlns:c16="http://schemas.microsoft.com/office/drawing/2014/chart" uri="{C3380CC4-5D6E-409C-BE32-E72D297353CC}">
              <c16:uniqueId val="{00000001-917F-4496-8A87-AFAA3CD699D3}"/>
            </c:ext>
          </c:extLst>
        </c:ser>
        <c:ser>
          <c:idx val="2"/>
          <c:order val="2"/>
          <c:tx>
            <c:strRef>
              <c:f>'pivot table '!$D$63:$D$65</c:f>
              <c:strCache>
                <c:ptCount val="1"/>
                <c:pt idx="0">
                  <c:v>Yes - Count of Purchased Bike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 '!$A$66:$A$84</c:f>
              <c:strCache>
                <c:ptCount val="18"/>
                <c:pt idx="0">
                  <c:v>26</c:v>
                </c:pt>
                <c:pt idx="1">
                  <c:v>27</c:v>
                </c:pt>
                <c:pt idx="2">
                  <c:v>29</c:v>
                </c:pt>
                <c:pt idx="3">
                  <c:v>30</c:v>
                </c:pt>
                <c:pt idx="4">
                  <c:v>32</c:v>
                </c:pt>
                <c:pt idx="5">
                  <c:v>36</c:v>
                </c:pt>
                <c:pt idx="6">
                  <c:v>37</c:v>
                </c:pt>
                <c:pt idx="7">
                  <c:v>38</c:v>
                </c:pt>
                <c:pt idx="8">
                  <c:v>40</c:v>
                </c:pt>
                <c:pt idx="9">
                  <c:v>41</c:v>
                </c:pt>
                <c:pt idx="10">
                  <c:v>43</c:v>
                </c:pt>
                <c:pt idx="11">
                  <c:v>46</c:v>
                </c:pt>
                <c:pt idx="12">
                  <c:v>47</c:v>
                </c:pt>
                <c:pt idx="13">
                  <c:v>48</c:v>
                </c:pt>
                <c:pt idx="14">
                  <c:v>52</c:v>
                </c:pt>
                <c:pt idx="15">
                  <c:v>65</c:v>
                </c:pt>
                <c:pt idx="16">
                  <c:v>66</c:v>
                </c:pt>
                <c:pt idx="17">
                  <c:v>67</c:v>
                </c:pt>
              </c:strCache>
            </c:strRef>
          </c:cat>
          <c:val>
            <c:numRef>
              <c:f>'pivot table '!$D$66:$D$84</c:f>
              <c:numCache>
                <c:formatCode>General</c:formatCode>
                <c:ptCount val="18"/>
                <c:pt idx="0">
                  <c:v>2</c:v>
                </c:pt>
                <c:pt idx="1">
                  <c:v>1</c:v>
                </c:pt>
                <c:pt idx="2">
                  <c:v>1</c:v>
                </c:pt>
                <c:pt idx="4">
                  <c:v>1</c:v>
                </c:pt>
                <c:pt idx="5">
                  <c:v>1</c:v>
                </c:pt>
                <c:pt idx="6">
                  <c:v>1</c:v>
                </c:pt>
                <c:pt idx="7">
                  <c:v>2</c:v>
                </c:pt>
                <c:pt idx="8">
                  <c:v>1</c:v>
                </c:pt>
                <c:pt idx="9">
                  <c:v>1</c:v>
                </c:pt>
                <c:pt idx="10">
                  <c:v>1</c:v>
                </c:pt>
                <c:pt idx="11">
                  <c:v>1</c:v>
                </c:pt>
                <c:pt idx="12">
                  <c:v>2</c:v>
                </c:pt>
                <c:pt idx="13">
                  <c:v>1</c:v>
                </c:pt>
                <c:pt idx="14">
                  <c:v>1</c:v>
                </c:pt>
                <c:pt idx="16">
                  <c:v>2</c:v>
                </c:pt>
              </c:numCache>
            </c:numRef>
          </c:val>
          <c:smooth val="0"/>
          <c:extLst>
            <c:ext xmlns:c16="http://schemas.microsoft.com/office/drawing/2014/chart" uri="{C3380CC4-5D6E-409C-BE32-E72D297353CC}">
              <c16:uniqueId val="{00000002-917F-4496-8A87-AFAA3CD699D3}"/>
            </c:ext>
          </c:extLst>
        </c:ser>
        <c:ser>
          <c:idx val="3"/>
          <c:order val="3"/>
          <c:tx>
            <c:strRef>
              <c:f>'pivot table '!$E$63:$E$65</c:f>
              <c:strCache>
                <c:ptCount val="1"/>
                <c:pt idx="0">
                  <c:v>Yes - Sum of Age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table '!$A$66:$A$84</c:f>
              <c:strCache>
                <c:ptCount val="18"/>
                <c:pt idx="0">
                  <c:v>26</c:v>
                </c:pt>
                <c:pt idx="1">
                  <c:v>27</c:v>
                </c:pt>
                <c:pt idx="2">
                  <c:v>29</c:v>
                </c:pt>
                <c:pt idx="3">
                  <c:v>30</c:v>
                </c:pt>
                <c:pt idx="4">
                  <c:v>32</c:v>
                </c:pt>
                <c:pt idx="5">
                  <c:v>36</c:v>
                </c:pt>
                <c:pt idx="6">
                  <c:v>37</c:v>
                </c:pt>
                <c:pt idx="7">
                  <c:v>38</c:v>
                </c:pt>
                <c:pt idx="8">
                  <c:v>40</c:v>
                </c:pt>
                <c:pt idx="9">
                  <c:v>41</c:v>
                </c:pt>
                <c:pt idx="10">
                  <c:v>43</c:v>
                </c:pt>
                <c:pt idx="11">
                  <c:v>46</c:v>
                </c:pt>
                <c:pt idx="12">
                  <c:v>47</c:v>
                </c:pt>
                <c:pt idx="13">
                  <c:v>48</c:v>
                </c:pt>
                <c:pt idx="14">
                  <c:v>52</c:v>
                </c:pt>
                <c:pt idx="15">
                  <c:v>65</c:v>
                </c:pt>
                <c:pt idx="16">
                  <c:v>66</c:v>
                </c:pt>
                <c:pt idx="17">
                  <c:v>67</c:v>
                </c:pt>
              </c:strCache>
            </c:strRef>
          </c:cat>
          <c:val>
            <c:numRef>
              <c:f>'pivot table '!$E$66:$E$84</c:f>
              <c:numCache>
                <c:formatCode>General</c:formatCode>
                <c:ptCount val="18"/>
                <c:pt idx="0">
                  <c:v>52</c:v>
                </c:pt>
                <c:pt idx="1">
                  <c:v>27</c:v>
                </c:pt>
                <c:pt idx="2">
                  <c:v>29</c:v>
                </c:pt>
                <c:pt idx="4">
                  <c:v>32</c:v>
                </c:pt>
                <c:pt idx="5">
                  <c:v>36</c:v>
                </c:pt>
                <c:pt idx="6">
                  <c:v>37</c:v>
                </c:pt>
                <c:pt idx="7">
                  <c:v>76</c:v>
                </c:pt>
                <c:pt idx="8">
                  <c:v>40</c:v>
                </c:pt>
                <c:pt idx="9">
                  <c:v>41</c:v>
                </c:pt>
                <c:pt idx="10">
                  <c:v>43</c:v>
                </c:pt>
                <c:pt idx="11">
                  <c:v>46</c:v>
                </c:pt>
                <c:pt idx="12">
                  <c:v>94</c:v>
                </c:pt>
                <c:pt idx="13">
                  <c:v>48</c:v>
                </c:pt>
                <c:pt idx="14">
                  <c:v>52</c:v>
                </c:pt>
                <c:pt idx="16">
                  <c:v>132</c:v>
                </c:pt>
              </c:numCache>
            </c:numRef>
          </c:val>
          <c:smooth val="0"/>
          <c:extLst>
            <c:ext xmlns:c16="http://schemas.microsoft.com/office/drawing/2014/chart" uri="{C3380CC4-5D6E-409C-BE32-E72D297353CC}">
              <c16:uniqueId val="{00000003-917F-4496-8A87-AFAA3CD699D3}"/>
            </c:ext>
          </c:extLst>
        </c:ser>
        <c:dLbls>
          <c:showLegendKey val="0"/>
          <c:showVal val="0"/>
          <c:showCatName val="0"/>
          <c:showSerName val="0"/>
          <c:showPercent val="0"/>
          <c:showBubbleSize val="0"/>
        </c:dLbls>
        <c:marker val="1"/>
        <c:smooth val="0"/>
        <c:axId val="631641200"/>
        <c:axId val="631646960"/>
      </c:lineChart>
      <c:catAx>
        <c:axId val="63164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646960"/>
        <c:crosses val="autoZero"/>
        <c:auto val="1"/>
        <c:lblAlgn val="ctr"/>
        <c:lblOffset val="100"/>
        <c:noMultiLvlLbl val="0"/>
      </c:catAx>
      <c:valAx>
        <c:axId val="63164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64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517325</xdr:colOff>
      <xdr:row>8</xdr:row>
      <xdr:rowOff>21773</xdr:rowOff>
    </xdr:from>
    <xdr:to>
      <xdr:col>10</xdr:col>
      <xdr:colOff>473782</xdr:colOff>
      <xdr:row>25</xdr:row>
      <xdr:rowOff>87087</xdr:rowOff>
    </xdr:to>
    <xdr:graphicFrame macro="">
      <xdr:nvGraphicFramePr>
        <xdr:cNvPr id="3" name="Chart 2">
          <a:extLst>
            <a:ext uri="{FF2B5EF4-FFF2-40B4-BE49-F238E27FC236}">
              <a16:creationId xmlns:a16="http://schemas.microsoft.com/office/drawing/2014/main" id="{0E0A4C34-0808-438D-B664-A08F30C4A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527352</xdr:colOff>
      <xdr:row>25</xdr:row>
      <xdr:rowOff>43542</xdr:rowOff>
    </xdr:from>
    <xdr:to>
      <xdr:col>13</xdr:col>
      <xdr:colOff>0</xdr:colOff>
      <xdr:row>37</xdr:row>
      <xdr:rowOff>141515</xdr:rowOff>
    </xdr:to>
    <xdr:graphicFrame macro="">
      <xdr:nvGraphicFramePr>
        <xdr:cNvPr id="4" name="Chart 3">
          <a:extLst>
            <a:ext uri="{FF2B5EF4-FFF2-40B4-BE49-F238E27FC236}">
              <a16:creationId xmlns:a16="http://schemas.microsoft.com/office/drawing/2014/main" id="{6DF4FAC5-E15A-464C-A7B8-5C710B34C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483809</xdr:colOff>
      <xdr:row>8</xdr:row>
      <xdr:rowOff>21774</xdr:rowOff>
    </xdr:from>
    <xdr:to>
      <xdr:col>13</xdr:col>
      <xdr:colOff>0</xdr:colOff>
      <xdr:row>25</xdr:row>
      <xdr:rowOff>65316</xdr:rowOff>
    </xdr:to>
    <xdr:graphicFrame macro="">
      <xdr:nvGraphicFramePr>
        <xdr:cNvPr id="6" name="Chart 5">
          <a:extLst>
            <a:ext uri="{FF2B5EF4-FFF2-40B4-BE49-F238E27FC236}">
              <a16:creationId xmlns:a16="http://schemas.microsoft.com/office/drawing/2014/main" id="{B33BB262-22AF-4E02-9626-35E8FA1EB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0</xdr:rowOff>
    </xdr:from>
    <xdr:to>
      <xdr:col>2</xdr:col>
      <xdr:colOff>527352</xdr:colOff>
      <xdr:row>13</xdr:row>
      <xdr:rowOff>0</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58853179-CCAB-66A3-BBF8-659F1CE5D9A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2005263"/>
              <a:ext cx="1750563" cy="902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90236</xdr:rowOff>
    </xdr:from>
    <xdr:to>
      <xdr:col>2</xdr:col>
      <xdr:colOff>521335</xdr:colOff>
      <xdr:row>30</xdr:row>
      <xdr:rowOff>60658</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44022C55-B6D9-8945-070B-431BADB621B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261183"/>
              <a:ext cx="1744546" cy="1775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10026</xdr:rowOff>
    </xdr:from>
    <xdr:to>
      <xdr:col>2</xdr:col>
      <xdr:colOff>521335</xdr:colOff>
      <xdr:row>20</xdr:row>
      <xdr:rowOff>90236</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E3F954A5-1A00-3264-65E1-9B173CFB64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088104"/>
              <a:ext cx="1744546" cy="1173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281940</xdr:colOff>
      <xdr:row>0</xdr:row>
      <xdr:rowOff>144780</xdr:rowOff>
    </xdr:from>
    <xdr:to>
      <xdr:col>13</xdr:col>
      <xdr:colOff>472440</xdr:colOff>
      <xdr:row>19</xdr:row>
      <xdr:rowOff>114300</xdr:rowOff>
    </xdr:to>
    <xdr:graphicFrame macro="">
      <xdr:nvGraphicFramePr>
        <xdr:cNvPr id="2" name="Chart 1">
          <a:extLst>
            <a:ext uri="{FF2B5EF4-FFF2-40B4-BE49-F238E27FC236}">
              <a16:creationId xmlns:a16="http://schemas.microsoft.com/office/drawing/2014/main" id="{37AB90D4-B39E-76FF-725E-4DCCF7245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518160</xdr:colOff>
      <xdr:row>22</xdr:row>
      <xdr:rowOff>22860</xdr:rowOff>
    </xdr:from>
    <xdr:to>
      <xdr:col>13</xdr:col>
      <xdr:colOff>213360</xdr:colOff>
      <xdr:row>37</xdr:row>
      <xdr:rowOff>22860</xdr:rowOff>
    </xdr:to>
    <xdr:graphicFrame macro="">
      <xdr:nvGraphicFramePr>
        <xdr:cNvPr id="3" name="Chart 2">
          <a:extLst>
            <a:ext uri="{FF2B5EF4-FFF2-40B4-BE49-F238E27FC236}">
              <a16:creationId xmlns:a16="http://schemas.microsoft.com/office/drawing/2014/main" id="{9FBB5670-E512-8DAB-2F31-526EEEEA0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388620</xdr:colOff>
      <xdr:row>40</xdr:row>
      <xdr:rowOff>22860</xdr:rowOff>
    </xdr:from>
    <xdr:to>
      <xdr:col>13</xdr:col>
      <xdr:colOff>274320</xdr:colOff>
      <xdr:row>58</xdr:row>
      <xdr:rowOff>22860</xdr:rowOff>
    </xdr:to>
    <xdr:graphicFrame macro="">
      <xdr:nvGraphicFramePr>
        <xdr:cNvPr id="6" name="Chart 5">
          <a:extLst>
            <a:ext uri="{FF2B5EF4-FFF2-40B4-BE49-F238E27FC236}">
              <a16:creationId xmlns:a16="http://schemas.microsoft.com/office/drawing/2014/main" id="{2658B2B6-B271-A2BF-CD78-6E92D1D38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303607</xdr:colOff>
      <xdr:row>69</xdr:row>
      <xdr:rowOff>57151</xdr:rowOff>
    </xdr:from>
    <xdr:to>
      <xdr:col>19</xdr:col>
      <xdr:colOff>178592</xdr:colOff>
      <xdr:row>86</xdr:row>
      <xdr:rowOff>166687</xdr:rowOff>
    </xdr:to>
    <xdr:graphicFrame macro="">
      <xdr:nvGraphicFramePr>
        <xdr:cNvPr id="8" name="Chart 7">
          <a:extLst>
            <a:ext uri="{FF2B5EF4-FFF2-40B4-BE49-F238E27FC236}">
              <a16:creationId xmlns:a16="http://schemas.microsoft.com/office/drawing/2014/main" id="{F64E5B56-A5F3-2F08-4C30-C734C155E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wnTech" refreshedDate="46188.14432835648" createdVersion="8" refreshedVersion="8" minRefreshableVersion="3" recordCount="1000" xr:uid="{CA441E35-8E7A-434A-B447-887B6A446933}">
  <cacheSource type="worksheet">
    <worksheetSource ref="A1:N1001" sheet="working sheet "/>
  </cacheSource>
  <cacheFields count="14">
    <cacheField name="ID" numFmtId="0">
      <sharedItems containsSemiMixedTypes="0" containsString="0" containsNumber="1" containsInteger="1" minValue="11000" maxValue="29447"/>
    </cacheField>
    <cacheField name="Marital Status" numFmtId="0">
      <sharedItems count="2">
        <s v="Married"/>
        <s v="Singel"/>
      </sharedItems>
    </cacheField>
    <cacheField name="Gender" numFmtId="0">
      <sharedItems count="2">
        <s v="fel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1199308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0"/>
    <x v="0"/>
  </r>
  <r>
    <n v="24381"/>
    <x v="1"/>
    <x v="1"/>
    <n v="70000"/>
    <n v="0"/>
    <x v="0"/>
    <s v="Professional"/>
    <s v="Yes"/>
    <n v="1"/>
    <x v="2"/>
    <x v="1"/>
    <x v="3"/>
    <x v="1"/>
    <x v="1"/>
  </r>
  <r>
    <n v="25597"/>
    <x v="1"/>
    <x v="1"/>
    <n v="30000"/>
    <n v="0"/>
    <x v="0"/>
    <s v="Clerical"/>
    <s v="No"/>
    <n v="0"/>
    <x v="0"/>
    <x v="0"/>
    <x v="4"/>
    <x v="0"/>
    <x v="1"/>
  </r>
  <r>
    <n v="13507"/>
    <x v="0"/>
    <x v="0"/>
    <n v="10000"/>
    <n v="2"/>
    <x v="1"/>
    <s v="Manual"/>
    <s v="Yes"/>
    <n v="0"/>
    <x v="3"/>
    <x v="0"/>
    <x v="5"/>
    <x v="0"/>
    <x v="0"/>
  </r>
  <r>
    <n v="27974"/>
    <x v="1"/>
    <x v="1"/>
    <n v="160000"/>
    <n v="2"/>
    <x v="2"/>
    <s v="Management"/>
    <s v="Yes"/>
    <n v="4"/>
    <x v="0"/>
    <x v="1"/>
    <x v="6"/>
    <x v="1"/>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2"/>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1"/>
    <x v="0"/>
  </r>
  <r>
    <n v="27183"/>
    <x v="1"/>
    <x v="1"/>
    <n v="40000"/>
    <n v="2"/>
    <x v="1"/>
    <s v="Clerical"/>
    <s v="Yes"/>
    <n v="1"/>
    <x v="3"/>
    <x v="0"/>
    <x v="11"/>
    <x v="2"/>
    <x v="1"/>
  </r>
  <r>
    <n v="25940"/>
    <x v="1"/>
    <x v="1"/>
    <n v="20000"/>
    <n v="2"/>
    <x v="3"/>
    <s v="Clerical"/>
    <s v="Yes"/>
    <n v="2"/>
    <x v="2"/>
    <x v="1"/>
    <x v="10"/>
    <x v="0"/>
    <x v="1"/>
  </r>
  <r>
    <n v="25598"/>
    <x v="0"/>
    <x v="0"/>
    <n v="40000"/>
    <n v="0"/>
    <x v="4"/>
    <s v="Clerical"/>
    <s v="Yes"/>
    <n v="0"/>
    <x v="0"/>
    <x v="0"/>
    <x v="4"/>
    <x v="0"/>
    <x v="1"/>
  </r>
  <r>
    <n v="21564"/>
    <x v="1"/>
    <x v="0"/>
    <n v="80000"/>
    <n v="0"/>
    <x v="0"/>
    <s v="Professional"/>
    <s v="Yes"/>
    <n v="4"/>
    <x v="4"/>
    <x v="1"/>
    <x v="11"/>
    <x v="1"/>
    <x v="0"/>
  </r>
  <r>
    <n v="19193"/>
    <x v="1"/>
    <x v="1"/>
    <n v="40000"/>
    <n v="2"/>
    <x v="1"/>
    <s v="Clerical"/>
    <s v="Yes"/>
    <n v="0"/>
    <x v="3"/>
    <x v="0"/>
    <x v="11"/>
    <x v="0"/>
    <x v="1"/>
  </r>
  <r>
    <n v="26412"/>
    <x v="0"/>
    <x v="0"/>
    <n v="80000"/>
    <n v="5"/>
    <x v="2"/>
    <s v="Management"/>
    <s v="No"/>
    <n v="3"/>
    <x v="2"/>
    <x v="0"/>
    <x v="16"/>
    <x v="0"/>
    <x v="0"/>
  </r>
  <r>
    <n v="27184"/>
    <x v="1"/>
    <x v="1"/>
    <n v="40000"/>
    <n v="2"/>
    <x v="1"/>
    <s v="Clerical"/>
    <s v="No"/>
    <n v="1"/>
    <x v="0"/>
    <x v="0"/>
    <x v="17"/>
    <x v="2"/>
    <x v="0"/>
  </r>
  <r>
    <n v="12590"/>
    <x v="1"/>
    <x v="1"/>
    <n v="30000"/>
    <n v="1"/>
    <x v="0"/>
    <s v="Clerical"/>
    <s v="Yes"/>
    <n v="0"/>
    <x v="0"/>
    <x v="0"/>
    <x v="18"/>
    <x v="2"/>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1"/>
    <x v="0"/>
  </r>
  <r>
    <n v="16466"/>
    <x v="1"/>
    <x v="0"/>
    <n v="20000"/>
    <n v="0"/>
    <x v="3"/>
    <s v="Manual"/>
    <s v="No"/>
    <n v="2"/>
    <x v="0"/>
    <x v="0"/>
    <x v="21"/>
    <x v="0"/>
    <x v="1"/>
  </r>
  <r>
    <n v="19273"/>
    <x v="0"/>
    <x v="0"/>
    <n v="20000"/>
    <n v="2"/>
    <x v="1"/>
    <s v="Manual"/>
    <s v="Yes"/>
    <n v="0"/>
    <x v="0"/>
    <x v="0"/>
    <x v="18"/>
    <x v="0"/>
    <x v="0"/>
  </r>
  <r>
    <n v="22400"/>
    <x v="0"/>
    <x v="1"/>
    <n v="10000"/>
    <n v="0"/>
    <x v="1"/>
    <s v="Manual"/>
    <s v="No"/>
    <n v="1"/>
    <x v="0"/>
    <x v="1"/>
    <x v="22"/>
    <x v="0"/>
    <x v="1"/>
  </r>
  <r>
    <n v="20942"/>
    <x v="1"/>
    <x v="0"/>
    <n v="20000"/>
    <n v="0"/>
    <x v="2"/>
    <s v="Manual"/>
    <s v="No"/>
    <n v="1"/>
    <x v="2"/>
    <x v="0"/>
    <x v="23"/>
    <x v="1"/>
    <x v="0"/>
  </r>
  <r>
    <n v="18484"/>
    <x v="1"/>
    <x v="1"/>
    <n v="80000"/>
    <n v="2"/>
    <x v="2"/>
    <s v="Skilled Manual"/>
    <s v="No"/>
    <n v="2"/>
    <x v="3"/>
    <x v="1"/>
    <x v="5"/>
    <x v="0"/>
    <x v="1"/>
  </r>
  <r>
    <n v="12291"/>
    <x v="1"/>
    <x v="1"/>
    <n v="90000"/>
    <n v="5"/>
    <x v="1"/>
    <s v="Professional"/>
    <s v="No"/>
    <n v="2"/>
    <x v="1"/>
    <x v="0"/>
    <x v="24"/>
    <x v="0"/>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0"/>
    <x v="0"/>
  </r>
  <r>
    <n v="16259"/>
    <x v="1"/>
    <x v="0"/>
    <n v="10000"/>
    <n v="4"/>
    <x v="3"/>
    <s v="Manual"/>
    <s v="Yes"/>
    <n v="2"/>
    <x v="0"/>
    <x v="0"/>
    <x v="8"/>
    <x v="1"/>
    <x v="1"/>
  </r>
  <r>
    <n v="27803"/>
    <x v="1"/>
    <x v="0"/>
    <n v="30000"/>
    <n v="2"/>
    <x v="1"/>
    <s v="Clerical"/>
    <s v="No"/>
    <n v="0"/>
    <x v="0"/>
    <x v="0"/>
    <x v="1"/>
    <x v="1"/>
    <x v="0"/>
  </r>
  <r>
    <n v="14347"/>
    <x v="1"/>
    <x v="0"/>
    <n v="40000"/>
    <n v="2"/>
    <x v="0"/>
    <s v="Management"/>
    <s v="Yes"/>
    <n v="2"/>
    <x v="2"/>
    <x v="1"/>
    <x v="27"/>
    <x v="0"/>
    <x v="1"/>
  </r>
  <r>
    <n v="17703"/>
    <x v="0"/>
    <x v="0"/>
    <n v="10000"/>
    <n v="1"/>
    <x v="4"/>
    <s v="Manual"/>
    <s v="Yes"/>
    <n v="0"/>
    <x v="0"/>
    <x v="0"/>
    <x v="8"/>
    <x v="0"/>
    <x v="0"/>
  </r>
  <r>
    <n v="17185"/>
    <x v="0"/>
    <x v="0"/>
    <n v="170000"/>
    <n v="4"/>
    <x v="1"/>
    <s v="Professional"/>
    <s v="No"/>
    <n v="3"/>
    <x v="2"/>
    <x v="0"/>
    <x v="28"/>
    <x v="0"/>
    <x v="1"/>
  </r>
  <r>
    <n v="29380"/>
    <x v="0"/>
    <x v="0"/>
    <n v="20000"/>
    <n v="3"/>
    <x v="2"/>
    <s v="Manual"/>
    <s v="Yes"/>
    <n v="0"/>
    <x v="0"/>
    <x v="0"/>
    <x v="3"/>
    <x v="1"/>
    <x v="1"/>
  </r>
  <r>
    <n v="23986"/>
    <x v="0"/>
    <x v="0"/>
    <n v="20000"/>
    <n v="1"/>
    <x v="0"/>
    <s v="Clerical"/>
    <s v="Yes"/>
    <n v="0"/>
    <x v="0"/>
    <x v="0"/>
    <x v="29"/>
    <x v="0"/>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2"/>
    <x v="1"/>
  </r>
  <r>
    <n v="20567"/>
    <x v="0"/>
    <x v="1"/>
    <n v="130000"/>
    <n v="4"/>
    <x v="1"/>
    <s v="Professional"/>
    <s v="No"/>
    <n v="4"/>
    <x v="2"/>
    <x v="0"/>
    <x v="33"/>
    <x v="0"/>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1"/>
    <x v="0"/>
  </r>
  <r>
    <n v="16713"/>
    <x v="0"/>
    <x v="1"/>
    <n v="40000"/>
    <n v="2"/>
    <x v="0"/>
    <s v="Management"/>
    <s v="Yes"/>
    <n v="1"/>
    <x v="0"/>
    <x v="1"/>
    <x v="31"/>
    <x v="0"/>
    <x v="1"/>
  </r>
  <r>
    <n v="16185"/>
    <x v="1"/>
    <x v="1"/>
    <n v="60000"/>
    <n v="4"/>
    <x v="0"/>
    <s v="Professional"/>
    <s v="Yes"/>
    <n v="3"/>
    <x v="4"/>
    <x v="1"/>
    <x v="3"/>
    <x v="2"/>
    <x v="0"/>
  </r>
  <r>
    <n v="14927"/>
    <x v="0"/>
    <x v="0"/>
    <n v="30000"/>
    <n v="1"/>
    <x v="0"/>
    <s v="Clerical"/>
    <s v="Yes"/>
    <n v="0"/>
    <x v="0"/>
    <x v="0"/>
    <x v="34"/>
    <x v="2"/>
    <x v="1"/>
  </r>
  <r>
    <n v="29337"/>
    <x v="1"/>
    <x v="1"/>
    <n v="30000"/>
    <n v="2"/>
    <x v="1"/>
    <s v="Clerical"/>
    <s v="Yes"/>
    <n v="2"/>
    <x v="2"/>
    <x v="1"/>
    <x v="35"/>
    <x v="0"/>
    <x v="0"/>
  </r>
  <r>
    <n v="29355"/>
    <x v="0"/>
    <x v="0"/>
    <n v="40000"/>
    <n v="0"/>
    <x v="4"/>
    <s v="Clerical"/>
    <s v="Yes"/>
    <n v="0"/>
    <x v="0"/>
    <x v="0"/>
    <x v="34"/>
    <x v="1"/>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2"/>
    <x v="1"/>
  </r>
  <r>
    <n v="16200"/>
    <x v="1"/>
    <x v="0"/>
    <n v="10000"/>
    <n v="0"/>
    <x v="3"/>
    <s v="Manual"/>
    <s v="No"/>
    <n v="2"/>
    <x v="0"/>
    <x v="0"/>
    <x v="11"/>
    <x v="0"/>
    <x v="0"/>
  </r>
  <r>
    <n v="24857"/>
    <x v="0"/>
    <x v="0"/>
    <n v="130000"/>
    <n v="3"/>
    <x v="2"/>
    <s v="Professional"/>
    <s v="Yes"/>
    <n v="4"/>
    <x v="0"/>
    <x v="0"/>
    <x v="31"/>
    <x v="2"/>
    <x v="0"/>
  </r>
  <r>
    <n v="26956"/>
    <x v="1"/>
    <x v="0"/>
    <n v="20000"/>
    <n v="0"/>
    <x v="1"/>
    <s v="Manual"/>
    <s v="No"/>
    <n v="1"/>
    <x v="1"/>
    <x v="0"/>
    <x v="4"/>
    <x v="0"/>
    <x v="1"/>
  </r>
  <r>
    <n v="14517"/>
    <x v="0"/>
    <x v="0"/>
    <n v="20000"/>
    <n v="3"/>
    <x v="2"/>
    <s v="Skilled Manual"/>
    <s v="No"/>
    <n v="2"/>
    <x v="3"/>
    <x v="1"/>
    <x v="24"/>
    <x v="0"/>
    <x v="0"/>
  </r>
  <r>
    <n v="12678"/>
    <x v="1"/>
    <x v="0"/>
    <n v="130000"/>
    <n v="4"/>
    <x v="2"/>
    <s v="Management"/>
    <s v="Yes"/>
    <n v="4"/>
    <x v="0"/>
    <x v="1"/>
    <x v="23"/>
    <x v="2"/>
    <x v="0"/>
  </r>
  <r>
    <n v="16188"/>
    <x v="1"/>
    <x v="0"/>
    <n v="20000"/>
    <n v="0"/>
    <x v="3"/>
    <s v="Manual"/>
    <s v="No"/>
    <n v="2"/>
    <x v="3"/>
    <x v="0"/>
    <x v="22"/>
    <x v="0"/>
    <x v="0"/>
  </r>
  <r>
    <n v="27969"/>
    <x v="0"/>
    <x v="1"/>
    <n v="80000"/>
    <n v="0"/>
    <x v="0"/>
    <s v="Professional"/>
    <s v="Yes"/>
    <n v="2"/>
    <x v="4"/>
    <x v="1"/>
    <x v="19"/>
    <x v="2"/>
    <x v="1"/>
  </r>
  <r>
    <n v="15752"/>
    <x v="0"/>
    <x v="1"/>
    <n v="80000"/>
    <n v="2"/>
    <x v="2"/>
    <s v="Skilled Manual"/>
    <s v="No"/>
    <n v="2"/>
    <x v="3"/>
    <x v="1"/>
    <x v="5"/>
    <x v="2"/>
    <x v="1"/>
  </r>
  <r>
    <n v="27745"/>
    <x v="1"/>
    <x v="1"/>
    <n v="40000"/>
    <n v="2"/>
    <x v="0"/>
    <s v="Management"/>
    <s v="Yes"/>
    <n v="2"/>
    <x v="2"/>
    <x v="1"/>
    <x v="18"/>
    <x v="0"/>
    <x v="1"/>
  </r>
  <r>
    <n v="20828"/>
    <x v="0"/>
    <x v="0"/>
    <n v="30000"/>
    <n v="4"/>
    <x v="4"/>
    <s v="Clerical"/>
    <s v="Yes"/>
    <n v="0"/>
    <x v="0"/>
    <x v="0"/>
    <x v="12"/>
    <x v="0"/>
    <x v="1"/>
  </r>
  <r>
    <n v="19461"/>
    <x v="1"/>
    <x v="0"/>
    <n v="10000"/>
    <n v="4"/>
    <x v="3"/>
    <s v="Manual"/>
    <s v="Yes"/>
    <n v="2"/>
    <x v="0"/>
    <x v="0"/>
    <x v="8"/>
    <x v="1"/>
    <x v="0"/>
  </r>
  <r>
    <n v="26941"/>
    <x v="0"/>
    <x v="1"/>
    <n v="30000"/>
    <n v="0"/>
    <x v="0"/>
    <s v="Clerical"/>
    <s v="Yes"/>
    <n v="0"/>
    <x v="0"/>
    <x v="0"/>
    <x v="15"/>
    <x v="1"/>
    <x v="1"/>
  </r>
  <r>
    <n v="28412"/>
    <x v="1"/>
    <x v="1"/>
    <n v="20000"/>
    <n v="0"/>
    <x v="2"/>
    <s v="Manual"/>
    <s v="No"/>
    <n v="1"/>
    <x v="1"/>
    <x v="0"/>
    <x v="19"/>
    <x v="0"/>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0"/>
    <x v="0"/>
  </r>
  <r>
    <n v="25458"/>
    <x v="0"/>
    <x v="1"/>
    <n v="20000"/>
    <n v="1"/>
    <x v="2"/>
    <s v="Manual"/>
    <s v="No"/>
    <n v="1"/>
    <x v="3"/>
    <x v="0"/>
    <x v="8"/>
    <x v="0"/>
    <x v="1"/>
  </r>
  <r>
    <n v="26886"/>
    <x v="1"/>
    <x v="0"/>
    <n v="30000"/>
    <n v="0"/>
    <x v="1"/>
    <s v="Clerical"/>
    <s v="No"/>
    <n v="1"/>
    <x v="0"/>
    <x v="0"/>
    <x v="19"/>
    <x v="0"/>
    <x v="1"/>
  </r>
  <r>
    <n v="28436"/>
    <x v="1"/>
    <x v="1"/>
    <n v="30000"/>
    <n v="0"/>
    <x v="1"/>
    <s v="Clerical"/>
    <s v="No"/>
    <n v="1"/>
    <x v="0"/>
    <x v="0"/>
    <x v="25"/>
    <x v="0"/>
    <x v="1"/>
  </r>
  <r>
    <n v="19562"/>
    <x v="1"/>
    <x v="0"/>
    <n v="60000"/>
    <n v="2"/>
    <x v="0"/>
    <s v="Professional"/>
    <s v="Yes"/>
    <n v="1"/>
    <x v="1"/>
    <x v="1"/>
    <x v="34"/>
    <x v="2"/>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0"/>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2"/>
    <x v="1"/>
  </r>
  <r>
    <n v="24149"/>
    <x v="0"/>
    <x v="1"/>
    <n v="10000"/>
    <n v="2"/>
    <x v="1"/>
    <s v="Manual"/>
    <s v="Yes"/>
    <n v="0"/>
    <x v="3"/>
    <x v="0"/>
    <x v="38"/>
    <x v="2"/>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1"/>
    <x v="0"/>
  </r>
  <r>
    <n v="20430"/>
    <x v="0"/>
    <x v="1"/>
    <n v="70000"/>
    <n v="2"/>
    <x v="1"/>
    <s v="Skilled Manual"/>
    <s v="Yes"/>
    <n v="2"/>
    <x v="2"/>
    <x v="1"/>
    <x v="31"/>
    <x v="2"/>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1"/>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1"/>
    <x v="0"/>
  </r>
  <r>
    <n v="12716"/>
    <x v="1"/>
    <x v="1"/>
    <n v="30000"/>
    <n v="0"/>
    <x v="1"/>
    <s v="Clerical"/>
    <s v="Yes"/>
    <n v="1"/>
    <x v="1"/>
    <x v="0"/>
    <x v="21"/>
    <x v="1"/>
    <x v="0"/>
  </r>
  <r>
    <n v="12472"/>
    <x v="0"/>
    <x v="1"/>
    <n v="30000"/>
    <n v="1"/>
    <x v="0"/>
    <s v="Clerical"/>
    <s v="Yes"/>
    <n v="1"/>
    <x v="1"/>
    <x v="0"/>
    <x v="32"/>
    <x v="0"/>
    <x v="0"/>
  </r>
  <r>
    <n v="20970"/>
    <x v="1"/>
    <x v="1"/>
    <n v="10000"/>
    <n v="2"/>
    <x v="1"/>
    <s v="Manual"/>
    <s v="Yes"/>
    <n v="1"/>
    <x v="0"/>
    <x v="0"/>
    <x v="31"/>
    <x v="2"/>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0"/>
    <x v="1"/>
  </r>
  <r>
    <n v="21094"/>
    <x v="1"/>
    <x v="0"/>
    <n v="30000"/>
    <n v="2"/>
    <x v="1"/>
    <s v="Clerical"/>
    <s v="Yes"/>
    <n v="2"/>
    <x v="0"/>
    <x v="0"/>
    <x v="0"/>
    <x v="0"/>
    <x v="0"/>
  </r>
  <r>
    <n v="12234"/>
    <x v="0"/>
    <x v="1"/>
    <n v="10000"/>
    <n v="2"/>
    <x v="1"/>
    <s v="Manual"/>
    <s v="Yes"/>
    <n v="1"/>
    <x v="1"/>
    <x v="0"/>
    <x v="31"/>
    <x v="1"/>
    <x v="0"/>
  </r>
  <r>
    <n v="28683"/>
    <x v="1"/>
    <x v="0"/>
    <n v="10000"/>
    <n v="1"/>
    <x v="2"/>
    <s v="Manual"/>
    <s v="No"/>
    <n v="1"/>
    <x v="2"/>
    <x v="0"/>
    <x v="11"/>
    <x v="2"/>
    <x v="1"/>
  </r>
  <r>
    <n v="17994"/>
    <x v="1"/>
    <x v="1"/>
    <n v="20000"/>
    <n v="2"/>
    <x v="2"/>
    <s v="Manual"/>
    <s v="Yes"/>
    <n v="2"/>
    <x v="0"/>
    <x v="0"/>
    <x v="0"/>
    <x v="0"/>
    <x v="0"/>
  </r>
  <r>
    <n v="24273"/>
    <x v="0"/>
    <x v="0"/>
    <n v="20000"/>
    <n v="2"/>
    <x v="3"/>
    <s v="Clerical"/>
    <s v="Yes"/>
    <n v="2"/>
    <x v="2"/>
    <x v="1"/>
    <x v="10"/>
    <x v="0"/>
    <x v="1"/>
  </r>
  <r>
    <n v="26547"/>
    <x v="1"/>
    <x v="0"/>
    <n v="30000"/>
    <n v="2"/>
    <x v="1"/>
    <s v="Clerical"/>
    <s v="No"/>
    <n v="2"/>
    <x v="2"/>
    <x v="1"/>
    <x v="2"/>
    <x v="0"/>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1"/>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0"/>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2"/>
    <x v="0"/>
  </r>
  <r>
    <n v="17845"/>
    <x v="1"/>
    <x v="0"/>
    <n v="20000"/>
    <n v="0"/>
    <x v="3"/>
    <s v="Manual"/>
    <s v="No"/>
    <n v="2"/>
    <x v="3"/>
    <x v="0"/>
    <x v="21"/>
    <x v="2"/>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1"/>
    <x v="0"/>
  </r>
  <r>
    <n v="25605"/>
    <x v="1"/>
    <x v="0"/>
    <n v="20000"/>
    <n v="2"/>
    <x v="1"/>
    <s v="Manual"/>
    <s v="No"/>
    <n v="1"/>
    <x v="0"/>
    <x v="0"/>
    <x v="9"/>
    <x v="1"/>
    <x v="1"/>
  </r>
  <r>
    <n v="20797"/>
    <x v="0"/>
    <x v="0"/>
    <n v="10000"/>
    <n v="1"/>
    <x v="0"/>
    <s v="Manual"/>
    <s v="Yes"/>
    <n v="0"/>
    <x v="0"/>
    <x v="0"/>
    <x v="28"/>
    <x v="0"/>
    <x v="0"/>
  </r>
  <r>
    <n v="21980"/>
    <x v="1"/>
    <x v="0"/>
    <n v="60000"/>
    <n v="1"/>
    <x v="0"/>
    <s v="Professional"/>
    <s v="Yes"/>
    <n v="1"/>
    <x v="2"/>
    <x v="1"/>
    <x v="20"/>
    <x v="2"/>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2"/>
    <x v="0"/>
  </r>
  <r>
    <n v="22402"/>
    <x v="0"/>
    <x v="1"/>
    <n v="10000"/>
    <n v="0"/>
    <x v="1"/>
    <s v="Manual"/>
    <s v="Yes"/>
    <n v="1"/>
    <x v="1"/>
    <x v="1"/>
    <x v="37"/>
    <x v="0"/>
    <x v="1"/>
  </r>
  <r>
    <n v="15465"/>
    <x v="0"/>
    <x v="0"/>
    <n v="10000"/>
    <n v="0"/>
    <x v="1"/>
    <s v="Manual"/>
    <s v="No"/>
    <n v="1"/>
    <x v="0"/>
    <x v="1"/>
    <x v="37"/>
    <x v="1"/>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1"/>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1"/>
    <x v="0"/>
  </r>
  <r>
    <n v="19442"/>
    <x v="1"/>
    <x v="1"/>
    <n v="50000"/>
    <n v="0"/>
    <x v="4"/>
    <s v="Skilled Manual"/>
    <s v="Yes"/>
    <n v="0"/>
    <x v="0"/>
    <x v="0"/>
    <x v="34"/>
    <x v="1"/>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1"/>
    <x v="0"/>
  </r>
  <r>
    <n v="14191"/>
    <x v="0"/>
    <x v="1"/>
    <n v="160000"/>
    <n v="4"/>
    <x v="1"/>
    <s v="Professional"/>
    <s v="No"/>
    <n v="2"/>
    <x v="4"/>
    <x v="0"/>
    <x v="10"/>
    <x v="0"/>
    <x v="1"/>
  </r>
  <r>
    <n v="12212"/>
    <x v="0"/>
    <x v="0"/>
    <n v="10000"/>
    <n v="0"/>
    <x v="4"/>
    <s v="Manual"/>
    <s v="Yes"/>
    <n v="0"/>
    <x v="0"/>
    <x v="0"/>
    <x v="34"/>
    <x v="1"/>
    <x v="1"/>
  </r>
  <r>
    <n v="25529"/>
    <x v="1"/>
    <x v="1"/>
    <n v="10000"/>
    <n v="1"/>
    <x v="4"/>
    <s v="Manual"/>
    <s v="Yes"/>
    <n v="0"/>
    <x v="0"/>
    <x v="0"/>
    <x v="20"/>
    <x v="0"/>
    <x v="0"/>
  </r>
  <r>
    <n v="22170"/>
    <x v="0"/>
    <x v="0"/>
    <n v="30000"/>
    <n v="3"/>
    <x v="1"/>
    <s v="Clerical"/>
    <s v="No"/>
    <n v="2"/>
    <x v="3"/>
    <x v="1"/>
    <x v="10"/>
    <x v="0"/>
    <x v="1"/>
  </r>
  <r>
    <n v="19445"/>
    <x v="0"/>
    <x v="0"/>
    <n v="10000"/>
    <n v="2"/>
    <x v="2"/>
    <s v="Manual"/>
    <s v="No"/>
    <n v="1"/>
    <x v="0"/>
    <x v="0"/>
    <x v="13"/>
    <x v="2"/>
    <x v="0"/>
  </r>
  <r>
    <n v="15265"/>
    <x v="1"/>
    <x v="1"/>
    <n v="40000"/>
    <n v="2"/>
    <x v="0"/>
    <s v="Management"/>
    <s v="Yes"/>
    <n v="2"/>
    <x v="2"/>
    <x v="1"/>
    <x v="29"/>
    <x v="0"/>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2"/>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0"/>
    <x v="0"/>
  </r>
  <r>
    <n v="26032"/>
    <x v="0"/>
    <x v="0"/>
    <n v="70000"/>
    <n v="5"/>
    <x v="0"/>
    <s v="Professional"/>
    <s v="Yes"/>
    <n v="4"/>
    <x v="4"/>
    <x v="1"/>
    <x v="3"/>
    <x v="1"/>
    <x v="0"/>
  </r>
  <r>
    <n v="17843"/>
    <x v="1"/>
    <x v="0"/>
    <n v="10000"/>
    <n v="0"/>
    <x v="3"/>
    <s v="Manual"/>
    <s v="No"/>
    <n v="2"/>
    <x v="0"/>
    <x v="0"/>
    <x v="21"/>
    <x v="2"/>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0"/>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0"/>
    <x v="0"/>
  </r>
  <r>
    <n v="12585"/>
    <x v="0"/>
    <x v="1"/>
    <n v="10000"/>
    <n v="1"/>
    <x v="2"/>
    <s v="Manual"/>
    <s v="Yes"/>
    <n v="0"/>
    <x v="1"/>
    <x v="1"/>
    <x v="40"/>
    <x v="1"/>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2"/>
    <x v="0"/>
  </r>
  <r>
    <n v="15657"/>
    <x v="0"/>
    <x v="1"/>
    <n v="30000"/>
    <n v="3"/>
    <x v="4"/>
    <s v="Clerical"/>
    <s v="Yes"/>
    <n v="0"/>
    <x v="0"/>
    <x v="0"/>
    <x v="30"/>
    <x v="0"/>
    <x v="1"/>
  </r>
  <r>
    <n v="11415"/>
    <x v="1"/>
    <x v="1"/>
    <n v="90000"/>
    <n v="5"/>
    <x v="1"/>
    <s v="Professional"/>
    <s v="No"/>
    <n v="2"/>
    <x v="4"/>
    <x v="0"/>
    <x v="24"/>
    <x v="2"/>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1"/>
    <x v="1"/>
  </r>
  <r>
    <n v="20946"/>
    <x v="1"/>
    <x v="0"/>
    <n v="30000"/>
    <n v="0"/>
    <x v="1"/>
    <s v="Clerical"/>
    <s v="No"/>
    <n v="1"/>
    <x v="1"/>
    <x v="0"/>
    <x v="25"/>
    <x v="0"/>
    <x v="0"/>
  </r>
  <r>
    <n v="11451"/>
    <x v="1"/>
    <x v="1"/>
    <n v="70000"/>
    <n v="0"/>
    <x v="0"/>
    <s v="Professional"/>
    <s v="No"/>
    <n v="4"/>
    <x v="4"/>
    <x v="1"/>
    <x v="23"/>
    <x v="0"/>
    <x v="1"/>
  </r>
  <r>
    <n v="25553"/>
    <x v="0"/>
    <x v="1"/>
    <n v="30000"/>
    <n v="1"/>
    <x v="0"/>
    <s v="Clerical"/>
    <s v="Yes"/>
    <n v="0"/>
    <x v="0"/>
    <x v="0"/>
    <x v="27"/>
    <x v="0"/>
    <x v="1"/>
  </r>
  <r>
    <n v="27951"/>
    <x v="1"/>
    <x v="1"/>
    <n v="80000"/>
    <n v="4"/>
    <x v="1"/>
    <s v="Professional"/>
    <s v="No"/>
    <n v="2"/>
    <x v="1"/>
    <x v="0"/>
    <x v="9"/>
    <x v="0"/>
    <x v="1"/>
  </r>
  <r>
    <n v="25026"/>
    <x v="0"/>
    <x v="1"/>
    <n v="20000"/>
    <n v="2"/>
    <x v="3"/>
    <s v="Clerical"/>
    <s v="Yes"/>
    <n v="3"/>
    <x v="2"/>
    <x v="1"/>
    <x v="9"/>
    <x v="1"/>
    <x v="0"/>
  </r>
  <r>
    <n v="13673"/>
    <x v="1"/>
    <x v="0"/>
    <n v="20000"/>
    <n v="0"/>
    <x v="3"/>
    <s v="Manual"/>
    <s v="No"/>
    <n v="2"/>
    <x v="0"/>
    <x v="0"/>
    <x v="37"/>
    <x v="1"/>
    <x v="0"/>
  </r>
  <r>
    <n v="16043"/>
    <x v="1"/>
    <x v="1"/>
    <n v="10000"/>
    <n v="1"/>
    <x v="0"/>
    <s v="Manual"/>
    <s v="Yes"/>
    <n v="0"/>
    <x v="0"/>
    <x v="0"/>
    <x v="28"/>
    <x v="0"/>
    <x v="0"/>
  </r>
  <r>
    <n v="22399"/>
    <x v="1"/>
    <x v="1"/>
    <n v="10000"/>
    <n v="0"/>
    <x v="1"/>
    <s v="Manual"/>
    <s v="Yes"/>
    <n v="1"/>
    <x v="3"/>
    <x v="1"/>
    <x v="22"/>
    <x v="0"/>
    <x v="1"/>
  </r>
  <r>
    <n v="27696"/>
    <x v="0"/>
    <x v="1"/>
    <n v="60000"/>
    <n v="1"/>
    <x v="0"/>
    <s v="Professional"/>
    <s v="Yes"/>
    <n v="1"/>
    <x v="2"/>
    <x v="1"/>
    <x v="1"/>
    <x v="2"/>
    <x v="1"/>
  </r>
  <r>
    <n v="25313"/>
    <x v="1"/>
    <x v="1"/>
    <n v="10000"/>
    <n v="0"/>
    <x v="3"/>
    <s v="Manual"/>
    <s v="No"/>
    <n v="2"/>
    <x v="3"/>
    <x v="0"/>
    <x v="11"/>
    <x v="0"/>
    <x v="0"/>
  </r>
  <r>
    <n v="13813"/>
    <x v="0"/>
    <x v="0"/>
    <n v="30000"/>
    <n v="3"/>
    <x v="1"/>
    <s v="Clerical"/>
    <s v="No"/>
    <n v="0"/>
    <x v="0"/>
    <x v="0"/>
    <x v="0"/>
    <x v="1"/>
    <x v="0"/>
  </r>
  <r>
    <n v="18711"/>
    <x v="1"/>
    <x v="0"/>
    <n v="70000"/>
    <n v="5"/>
    <x v="0"/>
    <s v="Professional"/>
    <s v="Yes"/>
    <n v="4"/>
    <x v="4"/>
    <x v="1"/>
    <x v="32"/>
    <x v="0"/>
    <x v="0"/>
  </r>
  <r>
    <n v="19650"/>
    <x v="0"/>
    <x v="0"/>
    <n v="30000"/>
    <n v="2"/>
    <x v="1"/>
    <s v="Clerical"/>
    <s v="No"/>
    <n v="2"/>
    <x v="0"/>
    <x v="1"/>
    <x v="41"/>
    <x v="2"/>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2"/>
    <x v="0"/>
  </r>
  <r>
    <n v="28915"/>
    <x v="1"/>
    <x v="1"/>
    <n v="80000"/>
    <n v="5"/>
    <x v="2"/>
    <s v="Management"/>
    <s v="Yes"/>
    <n v="3"/>
    <x v="4"/>
    <x v="0"/>
    <x v="42"/>
    <x v="0"/>
    <x v="0"/>
  </r>
  <r>
    <n v="22830"/>
    <x v="0"/>
    <x v="1"/>
    <n v="120000"/>
    <n v="4"/>
    <x v="1"/>
    <s v="Management"/>
    <s v="Yes"/>
    <n v="3"/>
    <x v="4"/>
    <x v="0"/>
    <x v="16"/>
    <x v="2"/>
    <x v="0"/>
  </r>
  <r>
    <n v="14777"/>
    <x v="0"/>
    <x v="0"/>
    <n v="40000"/>
    <n v="0"/>
    <x v="0"/>
    <s v="Clerical"/>
    <s v="Yes"/>
    <n v="0"/>
    <x v="0"/>
    <x v="0"/>
    <x v="13"/>
    <x v="0"/>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1"/>
    <x v="1"/>
  </r>
  <r>
    <n v="22006"/>
    <x v="0"/>
    <x v="1"/>
    <n v="70000"/>
    <n v="5"/>
    <x v="1"/>
    <s v="Skilled Manual"/>
    <s v="Yes"/>
    <n v="3"/>
    <x v="2"/>
    <x v="1"/>
    <x v="30"/>
    <x v="1"/>
    <x v="0"/>
  </r>
  <r>
    <n v="20060"/>
    <x v="1"/>
    <x v="0"/>
    <n v="30000"/>
    <n v="0"/>
    <x v="2"/>
    <s v="Manual"/>
    <s v="No"/>
    <n v="1"/>
    <x v="1"/>
    <x v="0"/>
    <x v="17"/>
    <x v="0"/>
    <x v="1"/>
  </r>
  <r>
    <n v="17702"/>
    <x v="0"/>
    <x v="1"/>
    <n v="10000"/>
    <n v="1"/>
    <x v="4"/>
    <s v="Manual"/>
    <s v="Yes"/>
    <n v="0"/>
    <x v="0"/>
    <x v="0"/>
    <x v="34"/>
    <x v="1"/>
    <x v="0"/>
  </r>
  <r>
    <n v="12503"/>
    <x v="1"/>
    <x v="0"/>
    <n v="30000"/>
    <n v="3"/>
    <x v="1"/>
    <s v="Clerical"/>
    <s v="Yes"/>
    <n v="2"/>
    <x v="0"/>
    <x v="0"/>
    <x v="40"/>
    <x v="1"/>
    <x v="0"/>
  </r>
  <r>
    <n v="23908"/>
    <x v="1"/>
    <x v="1"/>
    <n v="30000"/>
    <n v="1"/>
    <x v="0"/>
    <s v="Clerical"/>
    <s v="No"/>
    <n v="1"/>
    <x v="0"/>
    <x v="0"/>
    <x v="32"/>
    <x v="0"/>
    <x v="1"/>
  </r>
  <r>
    <n v="22527"/>
    <x v="1"/>
    <x v="0"/>
    <n v="20000"/>
    <n v="0"/>
    <x v="2"/>
    <s v="Manual"/>
    <s v="No"/>
    <n v="1"/>
    <x v="1"/>
    <x v="0"/>
    <x v="19"/>
    <x v="0"/>
    <x v="0"/>
  </r>
  <r>
    <n v="19057"/>
    <x v="0"/>
    <x v="0"/>
    <n v="120000"/>
    <n v="3"/>
    <x v="0"/>
    <s v="Management"/>
    <s v="No"/>
    <n v="2"/>
    <x v="4"/>
    <x v="0"/>
    <x v="31"/>
    <x v="0"/>
    <x v="1"/>
  </r>
  <r>
    <n v="18494"/>
    <x v="0"/>
    <x v="1"/>
    <n v="110000"/>
    <n v="5"/>
    <x v="0"/>
    <s v="Management"/>
    <s v="Yes"/>
    <n v="4"/>
    <x v="1"/>
    <x v="1"/>
    <x v="28"/>
    <x v="1"/>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0"/>
    <x v="0"/>
  </r>
  <r>
    <n v="23432"/>
    <x v="1"/>
    <x v="1"/>
    <n v="70000"/>
    <n v="0"/>
    <x v="0"/>
    <s v="Professional"/>
    <s v="Yes"/>
    <n v="1"/>
    <x v="2"/>
    <x v="1"/>
    <x v="34"/>
    <x v="0"/>
    <x v="1"/>
  </r>
  <r>
    <n v="22931"/>
    <x v="0"/>
    <x v="1"/>
    <n v="100000"/>
    <n v="5"/>
    <x v="4"/>
    <s v="Management"/>
    <s v="No"/>
    <n v="1"/>
    <x v="3"/>
    <x v="1"/>
    <x v="44"/>
    <x v="0"/>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2"/>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2"/>
    <x v="0"/>
  </r>
  <r>
    <n v="12705"/>
    <x v="0"/>
    <x v="1"/>
    <n v="150000"/>
    <n v="0"/>
    <x v="0"/>
    <s v="Management"/>
    <s v="Yes"/>
    <n v="4"/>
    <x v="0"/>
    <x v="1"/>
    <x v="34"/>
    <x v="0"/>
    <x v="1"/>
  </r>
  <r>
    <n v="22672"/>
    <x v="1"/>
    <x v="0"/>
    <n v="30000"/>
    <n v="2"/>
    <x v="1"/>
    <s v="Clerical"/>
    <s v="Yes"/>
    <n v="0"/>
    <x v="0"/>
    <x v="0"/>
    <x v="1"/>
    <x v="2"/>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0"/>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1"/>
    <x v="0"/>
  </r>
  <r>
    <n v="24187"/>
    <x v="1"/>
    <x v="0"/>
    <n v="30000"/>
    <n v="3"/>
    <x v="4"/>
    <s v="Clerical"/>
    <s v="No"/>
    <n v="0"/>
    <x v="0"/>
    <x v="0"/>
    <x v="30"/>
    <x v="1"/>
    <x v="1"/>
  </r>
  <r>
    <n v="15758"/>
    <x v="0"/>
    <x v="1"/>
    <n v="130000"/>
    <n v="0"/>
    <x v="4"/>
    <s v="Management"/>
    <s v="Yes"/>
    <n v="0"/>
    <x v="2"/>
    <x v="1"/>
    <x v="28"/>
    <x v="2"/>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1"/>
    <x v="1"/>
  </r>
  <r>
    <n v="11378"/>
    <x v="1"/>
    <x v="0"/>
    <n v="10000"/>
    <n v="1"/>
    <x v="2"/>
    <s v="Manual"/>
    <s v="No"/>
    <n v="1"/>
    <x v="1"/>
    <x v="0"/>
    <x v="30"/>
    <x v="0"/>
    <x v="1"/>
  </r>
  <r>
    <n v="20851"/>
    <x v="1"/>
    <x v="1"/>
    <n v="20000"/>
    <n v="0"/>
    <x v="1"/>
    <s v="Manual"/>
    <s v="No"/>
    <n v="1"/>
    <x v="1"/>
    <x v="0"/>
    <x v="4"/>
    <x v="1"/>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0"/>
    <x v="0"/>
  </r>
  <r>
    <n v="17926"/>
    <x v="1"/>
    <x v="0"/>
    <n v="40000"/>
    <n v="0"/>
    <x v="0"/>
    <s v="Clerical"/>
    <s v="No"/>
    <n v="0"/>
    <x v="0"/>
    <x v="1"/>
    <x v="26"/>
    <x v="0"/>
    <x v="1"/>
  </r>
  <r>
    <n v="26928"/>
    <x v="1"/>
    <x v="1"/>
    <n v="30000"/>
    <n v="1"/>
    <x v="0"/>
    <s v="Clerical"/>
    <s v="Yes"/>
    <n v="0"/>
    <x v="0"/>
    <x v="0"/>
    <x v="24"/>
    <x v="0"/>
    <x v="1"/>
  </r>
  <r>
    <n v="20897"/>
    <x v="0"/>
    <x v="0"/>
    <n v="30000"/>
    <n v="1"/>
    <x v="0"/>
    <s v="Skilled Manual"/>
    <s v="Yes"/>
    <n v="2"/>
    <x v="0"/>
    <x v="0"/>
    <x v="8"/>
    <x v="1"/>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0"/>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2"/>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2"/>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1"/>
    <x v="1"/>
  </r>
  <r>
    <n v="28379"/>
    <x v="0"/>
    <x v="1"/>
    <n v="30000"/>
    <n v="1"/>
    <x v="0"/>
    <s v="Skilled Manual"/>
    <s v="Yes"/>
    <n v="2"/>
    <x v="0"/>
    <x v="0"/>
    <x v="8"/>
    <x v="2"/>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2"/>
    <x v="0"/>
  </r>
  <r>
    <n v="29424"/>
    <x v="0"/>
    <x v="1"/>
    <n v="10000"/>
    <n v="0"/>
    <x v="3"/>
    <s v="Manual"/>
    <s v="Yes"/>
    <n v="2"/>
    <x v="0"/>
    <x v="0"/>
    <x v="21"/>
    <x v="2"/>
    <x v="0"/>
  </r>
  <r>
    <n v="15926"/>
    <x v="1"/>
    <x v="0"/>
    <n v="120000"/>
    <n v="3"/>
    <x v="2"/>
    <s v="Professional"/>
    <s v="Yes"/>
    <n v="4"/>
    <x v="2"/>
    <x v="0"/>
    <x v="5"/>
    <x v="0"/>
    <x v="1"/>
  </r>
  <r>
    <n v="14554"/>
    <x v="0"/>
    <x v="1"/>
    <n v="20000"/>
    <n v="1"/>
    <x v="0"/>
    <s v="Clerical"/>
    <s v="Yes"/>
    <n v="0"/>
    <x v="0"/>
    <x v="0"/>
    <x v="29"/>
    <x v="0"/>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1"/>
    <x v="1"/>
  </r>
  <r>
    <n v="25651"/>
    <x v="0"/>
    <x v="1"/>
    <n v="40000"/>
    <n v="1"/>
    <x v="0"/>
    <s v="Skilled Manual"/>
    <s v="No"/>
    <n v="0"/>
    <x v="0"/>
    <x v="0"/>
    <x v="1"/>
    <x v="2"/>
    <x v="1"/>
  </r>
  <r>
    <n v="22936"/>
    <x v="1"/>
    <x v="0"/>
    <n v="60000"/>
    <n v="1"/>
    <x v="1"/>
    <s v="Skilled Manual"/>
    <s v="No"/>
    <n v="1"/>
    <x v="0"/>
    <x v="1"/>
    <x v="12"/>
    <x v="0"/>
    <x v="1"/>
  </r>
  <r>
    <n v="23915"/>
    <x v="0"/>
    <x v="1"/>
    <n v="20000"/>
    <n v="2"/>
    <x v="2"/>
    <s v="Manual"/>
    <s v="Yes"/>
    <n v="2"/>
    <x v="0"/>
    <x v="0"/>
    <x v="0"/>
    <x v="2"/>
    <x v="0"/>
  </r>
  <r>
    <n v="24121"/>
    <x v="1"/>
    <x v="0"/>
    <n v="30000"/>
    <n v="0"/>
    <x v="1"/>
    <s v="Clerical"/>
    <s v="No"/>
    <n v="1"/>
    <x v="0"/>
    <x v="0"/>
    <x v="19"/>
    <x v="0"/>
    <x v="1"/>
  </r>
  <r>
    <n v="27878"/>
    <x v="1"/>
    <x v="1"/>
    <n v="20000"/>
    <n v="0"/>
    <x v="1"/>
    <s v="Manual"/>
    <s v="No"/>
    <n v="0"/>
    <x v="0"/>
    <x v="1"/>
    <x v="26"/>
    <x v="1"/>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1"/>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0"/>
    <x v="0"/>
  </r>
  <r>
    <n v="13082"/>
    <x v="1"/>
    <x v="1"/>
    <n v="130000"/>
    <n v="0"/>
    <x v="4"/>
    <s v="Management"/>
    <s v="Yes"/>
    <n v="0"/>
    <x v="1"/>
    <x v="1"/>
    <x v="28"/>
    <x v="2"/>
    <x v="1"/>
  </r>
  <r>
    <n v="22518"/>
    <x v="1"/>
    <x v="0"/>
    <n v="30000"/>
    <n v="3"/>
    <x v="1"/>
    <s v="Clerical"/>
    <s v="No"/>
    <n v="2"/>
    <x v="0"/>
    <x v="0"/>
    <x v="40"/>
    <x v="0"/>
    <x v="1"/>
  </r>
  <r>
    <n v="13687"/>
    <x v="0"/>
    <x v="1"/>
    <n v="40000"/>
    <n v="1"/>
    <x v="0"/>
    <s v="Skilled Manual"/>
    <s v="Yes"/>
    <n v="1"/>
    <x v="0"/>
    <x v="0"/>
    <x v="6"/>
    <x v="1"/>
    <x v="1"/>
  </r>
  <r>
    <n v="23571"/>
    <x v="0"/>
    <x v="0"/>
    <n v="40000"/>
    <n v="2"/>
    <x v="0"/>
    <s v="Management"/>
    <s v="Yes"/>
    <n v="2"/>
    <x v="0"/>
    <x v="1"/>
    <x v="29"/>
    <x v="1"/>
    <x v="1"/>
  </r>
  <r>
    <n v="19305"/>
    <x v="1"/>
    <x v="0"/>
    <n v="10000"/>
    <n v="2"/>
    <x v="2"/>
    <s v="Manual"/>
    <s v="Yes"/>
    <n v="1"/>
    <x v="0"/>
    <x v="0"/>
    <x v="13"/>
    <x v="0"/>
    <x v="1"/>
  </r>
  <r>
    <n v="22636"/>
    <x v="1"/>
    <x v="0"/>
    <n v="40000"/>
    <n v="0"/>
    <x v="0"/>
    <s v="Clerical"/>
    <s v="No"/>
    <n v="0"/>
    <x v="0"/>
    <x v="0"/>
    <x v="13"/>
    <x v="1"/>
    <x v="1"/>
  </r>
  <r>
    <n v="17310"/>
    <x v="0"/>
    <x v="1"/>
    <n v="60000"/>
    <n v="1"/>
    <x v="1"/>
    <s v="Skilled Manual"/>
    <s v="Yes"/>
    <n v="1"/>
    <x v="0"/>
    <x v="1"/>
    <x v="12"/>
    <x v="0"/>
    <x v="1"/>
  </r>
  <r>
    <n v="12133"/>
    <x v="0"/>
    <x v="0"/>
    <n v="130000"/>
    <n v="3"/>
    <x v="1"/>
    <s v="Professional"/>
    <s v="Yes"/>
    <n v="3"/>
    <x v="2"/>
    <x v="0"/>
    <x v="5"/>
    <x v="2"/>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2"/>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0"/>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0"/>
    <x v="0"/>
  </r>
  <r>
    <n v="13586"/>
    <x v="0"/>
    <x v="1"/>
    <n v="80000"/>
    <n v="4"/>
    <x v="1"/>
    <s v="Professional"/>
    <s v="Yes"/>
    <n v="2"/>
    <x v="4"/>
    <x v="0"/>
    <x v="39"/>
    <x v="0"/>
    <x v="0"/>
  </r>
  <r>
    <n v="17978"/>
    <x v="0"/>
    <x v="1"/>
    <n v="40000"/>
    <n v="0"/>
    <x v="4"/>
    <s v="Clerical"/>
    <s v="Yes"/>
    <n v="0"/>
    <x v="0"/>
    <x v="0"/>
    <x v="34"/>
    <x v="0"/>
    <x v="1"/>
  </r>
  <r>
    <n v="12581"/>
    <x v="1"/>
    <x v="0"/>
    <n v="10000"/>
    <n v="0"/>
    <x v="1"/>
    <s v="Manual"/>
    <s v="No"/>
    <n v="1"/>
    <x v="0"/>
    <x v="1"/>
    <x v="26"/>
    <x v="1"/>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1"/>
    <x v="0"/>
  </r>
  <r>
    <n v="11555"/>
    <x v="0"/>
    <x v="0"/>
    <n v="40000"/>
    <n v="1"/>
    <x v="0"/>
    <s v="Clerical"/>
    <s v="Yes"/>
    <n v="0"/>
    <x v="0"/>
    <x v="0"/>
    <x v="48"/>
    <x v="0"/>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1"/>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1"/>
    <x v="0"/>
  </r>
  <r>
    <n v="25266"/>
    <x v="1"/>
    <x v="0"/>
    <n v="30000"/>
    <n v="2"/>
    <x v="1"/>
    <s v="Clerical"/>
    <s v="No"/>
    <n v="2"/>
    <x v="2"/>
    <x v="1"/>
    <x v="41"/>
    <x v="2"/>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2"/>
    <x v="1"/>
  </r>
  <r>
    <n v="19255"/>
    <x v="1"/>
    <x v="1"/>
    <n v="10000"/>
    <n v="2"/>
    <x v="1"/>
    <s v="Manual"/>
    <s v="Yes"/>
    <n v="1"/>
    <x v="0"/>
    <x v="0"/>
    <x v="36"/>
    <x v="0"/>
    <x v="1"/>
  </r>
  <r>
    <n v="18153"/>
    <x v="0"/>
    <x v="0"/>
    <n v="100000"/>
    <n v="2"/>
    <x v="0"/>
    <s v="Management"/>
    <s v="Yes"/>
    <n v="4"/>
    <x v="4"/>
    <x v="0"/>
    <x v="14"/>
    <x v="2"/>
    <x v="0"/>
  </r>
  <r>
    <n v="14547"/>
    <x v="0"/>
    <x v="1"/>
    <n v="10000"/>
    <n v="2"/>
    <x v="1"/>
    <s v="Manual"/>
    <s v="Yes"/>
    <n v="0"/>
    <x v="3"/>
    <x v="0"/>
    <x v="36"/>
    <x v="0"/>
    <x v="0"/>
  </r>
  <r>
    <n v="24901"/>
    <x v="1"/>
    <x v="1"/>
    <n v="110000"/>
    <n v="0"/>
    <x v="1"/>
    <s v="Management"/>
    <s v="No"/>
    <n v="3"/>
    <x v="4"/>
    <x v="1"/>
    <x v="21"/>
    <x v="1"/>
    <x v="1"/>
  </r>
  <r>
    <n v="27169"/>
    <x v="1"/>
    <x v="1"/>
    <n v="30000"/>
    <n v="0"/>
    <x v="2"/>
    <s v="Manual"/>
    <s v="Yes"/>
    <n v="1"/>
    <x v="1"/>
    <x v="0"/>
    <x v="17"/>
    <x v="0"/>
    <x v="1"/>
  </r>
  <r>
    <n v="14805"/>
    <x v="1"/>
    <x v="0"/>
    <n v="10000"/>
    <n v="3"/>
    <x v="3"/>
    <s v="Manual"/>
    <s v="Yes"/>
    <n v="2"/>
    <x v="0"/>
    <x v="0"/>
    <x v="1"/>
    <x v="2"/>
    <x v="0"/>
  </r>
  <r>
    <n v="15822"/>
    <x v="0"/>
    <x v="1"/>
    <n v="40000"/>
    <n v="2"/>
    <x v="0"/>
    <s v="Management"/>
    <s v="Yes"/>
    <n v="2"/>
    <x v="0"/>
    <x v="1"/>
    <x v="41"/>
    <x v="0"/>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0"/>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0"/>
    <x v="1"/>
  </r>
  <r>
    <n v="29447"/>
    <x v="1"/>
    <x v="0"/>
    <n v="10000"/>
    <n v="2"/>
    <x v="0"/>
    <s v="Clerical"/>
    <s v="No"/>
    <n v="1"/>
    <x v="1"/>
    <x v="0"/>
    <x v="35"/>
    <x v="0"/>
    <x v="0"/>
  </r>
  <r>
    <n v="19784"/>
    <x v="0"/>
    <x v="0"/>
    <n v="80000"/>
    <n v="2"/>
    <x v="2"/>
    <s v="Skilled Manual"/>
    <s v="Yes"/>
    <n v="2"/>
    <x v="2"/>
    <x v="1"/>
    <x v="5"/>
    <x v="0"/>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1"/>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1"/>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1"/>
    <x v="0"/>
  </r>
  <r>
    <n v="12236"/>
    <x v="0"/>
    <x v="0"/>
    <n v="20000"/>
    <n v="1"/>
    <x v="1"/>
    <s v="Manual"/>
    <s v="Yes"/>
    <n v="0"/>
    <x v="0"/>
    <x v="0"/>
    <x v="27"/>
    <x v="2"/>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1"/>
    <x v="1"/>
  </r>
  <r>
    <n v="19331"/>
    <x v="1"/>
    <x v="1"/>
    <n v="20000"/>
    <n v="2"/>
    <x v="2"/>
    <s v="Manual"/>
    <s v="Yes"/>
    <n v="1"/>
    <x v="0"/>
    <x v="0"/>
    <x v="8"/>
    <x v="0"/>
    <x v="0"/>
  </r>
  <r>
    <n v="17754"/>
    <x v="1"/>
    <x v="0"/>
    <n v="30000"/>
    <n v="3"/>
    <x v="0"/>
    <s v="Clerical"/>
    <s v="Yes"/>
    <n v="0"/>
    <x v="0"/>
    <x v="0"/>
    <x v="30"/>
    <x v="0"/>
    <x v="1"/>
  </r>
  <r>
    <n v="11149"/>
    <x v="0"/>
    <x v="1"/>
    <n v="40000"/>
    <n v="2"/>
    <x v="0"/>
    <s v="Management"/>
    <s v="Yes"/>
    <n v="2"/>
    <x v="0"/>
    <x v="1"/>
    <x v="27"/>
    <x v="0"/>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0"/>
    <x v="0"/>
  </r>
  <r>
    <n v="15612"/>
    <x v="1"/>
    <x v="1"/>
    <n v="30000"/>
    <n v="0"/>
    <x v="2"/>
    <s v="Manual"/>
    <s v="No"/>
    <n v="1"/>
    <x v="3"/>
    <x v="0"/>
    <x v="26"/>
    <x v="1"/>
    <x v="0"/>
  </r>
  <r>
    <n v="28323"/>
    <x v="1"/>
    <x v="1"/>
    <n v="70000"/>
    <n v="0"/>
    <x v="0"/>
    <s v="Professional"/>
    <s v="No"/>
    <n v="2"/>
    <x v="2"/>
    <x v="1"/>
    <x v="1"/>
    <x v="0"/>
    <x v="1"/>
  </r>
  <r>
    <n v="22634"/>
    <x v="1"/>
    <x v="0"/>
    <n v="40000"/>
    <n v="0"/>
    <x v="4"/>
    <s v="Clerical"/>
    <s v="Yes"/>
    <n v="0"/>
    <x v="0"/>
    <x v="0"/>
    <x v="13"/>
    <x v="0"/>
    <x v="1"/>
  </r>
  <r>
    <n v="15665"/>
    <x v="0"/>
    <x v="0"/>
    <n v="30000"/>
    <n v="0"/>
    <x v="0"/>
    <s v="Clerical"/>
    <s v="Yes"/>
    <n v="0"/>
    <x v="0"/>
    <x v="0"/>
    <x v="15"/>
    <x v="1"/>
    <x v="1"/>
  </r>
  <r>
    <n v="27585"/>
    <x v="0"/>
    <x v="0"/>
    <n v="90000"/>
    <n v="2"/>
    <x v="0"/>
    <s v="Professional"/>
    <s v="No"/>
    <n v="0"/>
    <x v="0"/>
    <x v="1"/>
    <x v="4"/>
    <x v="0"/>
    <x v="1"/>
  </r>
  <r>
    <n v="19748"/>
    <x v="0"/>
    <x v="1"/>
    <n v="20000"/>
    <n v="4"/>
    <x v="2"/>
    <s v="Skilled Manual"/>
    <s v="No"/>
    <n v="2"/>
    <x v="3"/>
    <x v="1"/>
    <x v="2"/>
    <x v="0"/>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1"/>
    <x v="0"/>
  </r>
  <r>
    <n v="28564"/>
    <x v="1"/>
    <x v="0"/>
    <n v="40000"/>
    <n v="2"/>
    <x v="1"/>
    <s v="Clerical"/>
    <s v="Yes"/>
    <n v="0"/>
    <x v="3"/>
    <x v="0"/>
    <x v="6"/>
    <x v="0"/>
    <x v="1"/>
  </r>
  <r>
    <n v="28521"/>
    <x v="1"/>
    <x v="1"/>
    <n v="40000"/>
    <n v="0"/>
    <x v="4"/>
    <s v="Clerical"/>
    <s v="No"/>
    <n v="0"/>
    <x v="0"/>
    <x v="0"/>
    <x v="4"/>
    <x v="1"/>
    <x v="1"/>
  </r>
  <r>
    <n v="15450"/>
    <x v="0"/>
    <x v="1"/>
    <n v="10000"/>
    <n v="1"/>
    <x v="4"/>
    <s v="Clerical"/>
    <s v="Yes"/>
    <n v="0"/>
    <x v="0"/>
    <x v="0"/>
    <x v="43"/>
    <x v="0"/>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2"/>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0"/>
    <x v="1"/>
  </r>
  <r>
    <n v="27650"/>
    <x v="0"/>
    <x v="1"/>
    <n v="70000"/>
    <n v="4"/>
    <x v="2"/>
    <s v="Professional"/>
    <s v="Yes"/>
    <n v="0"/>
    <x v="2"/>
    <x v="2"/>
    <x v="36"/>
    <x v="0"/>
    <x v="0"/>
  </r>
  <r>
    <n v="24981"/>
    <x v="0"/>
    <x v="1"/>
    <n v="60000"/>
    <n v="2"/>
    <x v="1"/>
    <s v="Professional"/>
    <s v="Yes"/>
    <n v="2"/>
    <x v="4"/>
    <x v="2"/>
    <x v="16"/>
    <x v="2"/>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1"/>
    <x v="1"/>
  </r>
  <r>
    <n v="26575"/>
    <x v="1"/>
    <x v="0"/>
    <n v="40000"/>
    <n v="0"/>
    <x v="2"/>
    <s v="Skilled Manual"/>
    <s v="No"/>
    <n v="2"/>
    <x v="3"/>
    <x v="2"/>
    <x v="23"/>
    <x v="0"/>
    <x v="1"/>
  </r>
  <r>
    <n v="15559"/>
    <x v="0"/>
    <x v="1"/>
    <n v="60000"/>
    <n v="5"/>
    <x v="0"/>
    <s v="Professional"/>
    <s v="Yes"/>
    <n v="1"/>
    <x v="1"/>
    <x v="2"/>
    <x v="15"/>
    <x v="1"/>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1"/>
    <x v="1"/>
  </r>
  <r>
    <n v="24738"/>
    <x v="0"/>
    <x v="0"/>
    <n v="40000"/>
    <n v="1"/>
    <x v="1"/>
    <s v="Clerical"/>
    <s v="Yes"/>
    <n v="1"/>
    <x v="3"/>
    <x v="2"/>
    <x v="36"/>
    <x v="0"/>
    <x v="1"/>
  </r>
  <r>
    <n v="16337"/>
    <x v="0"/>
    <x v="1"/>
    <n v="60000"/>
    <n v="0"/>
    <x v="1"/>
    <s v="Skilled Manual"/>
    <s v="No"/>
    <n v="2"/>
    <x v="3"/>
    <x v="2"/>
    <x v="19"/>
    <x v="1"/>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1"/>
    <x v="1"/>
  </r>
  <r>
    <n v="13353"/>
    <x v="1"/>
    <x v="0"/>
    <n v="60000"/>
    <n v="4"/>
    <x v="4"/>
    <s v="Management"/>
    <s v="Yes"/>
    <n v="2"/>
    <x v="4"/>
    <x v="2"/>
    <x v="33"/>
    <x v="0"/>
    <x v="1"/>
  </r>
  <r>
    <n v="19399"/>
    <x v="1"/>
    <x v="1"/>
    <n v="40000"/>
    <n v="0"/>
    <x v="0"/>
    <s v="Professional"/>
    <s v="No"/>
    <n v="1"/>
    <x v="1"/>
    <x v="2"/>
    <x v="12"/>
    <x v="0"/>
    <x v="0"/>
  </r>
  <r>
    <n v="16154"/>
    <x v="0"/>
    <x v="0"/>
    <n v="70000"/>
    <n v="5"/>
    <x v="0"/>
    <s v="Professional"/>
    <s v="Yes"/>
    <n v="2"/>
    <x v="1"/>
    <x v="2"/>
    <x v="15"/>
    <x v="2"/>
    <x v="0"/>
  </r>
  <r>
    <n v="22219"/>
    <x v="0"/>
    <x v="0"/>
    <n v="60000"/>
    <n v="2"/>
    <x v="2"/>
    <s v="Professional"/>
    <s v="Yes"/>
    <n v="2"/>
    <x v="2"/>
    <x v="2"/>
    <x v="38"/>
    <x v="1"/>
    <x v="0"/>
  </r>
  <r>
    <n v="17269"/>
    <x v="1"/>
    <x v="1"/>
    <n v="60000"/>
    <n v="3"/>
    <x v="0"/>
    <s v="Professional"/>
    <s v="No"/>
    <n v="0"/>
    <x v="0"/>
    <x v="2"/>
    <x v="15"/>
    <x v="2"/>
    <x v="1"/>
  </r>
  <r>
    <n v="23586"/>
    <x v="0"/>
    <x v="0"/>
    <n v="80000"/>
    <n v="0"/>
    <x v="0"/>
    <s v="Management"/>
    <s v="Yes"/>
    <n v="1"/>
    <x v="3"/>
    <x v="2"/>
    <x v="17"/>
    <x v="2"/>
    <x v="1"/>
  </r>
  <r>
    <n v="15740"/>
    <x v="0"/>
    <x v="1"/>
    <n v="80000"/>
    <n v="5"/>
    <x v="0"/>
    <s v="Management"/>
    <s v="Yes"/>
    <n v="2"/>
    <x v="3"/>
    <x v="2"/>
    <x v="46"/>
    <x v="0"/>
    <x v="0"/>
  </r>
  <r>
    <n v="27638"/>
    <x v="1"/>
    <x v="1"/>
    <n v="100000"/>
    <n v="1"/>
    <x v="1"/>
    <s v="Professional"/>
    <s v="No"/>
    <n v="3"/>
    <x v="3"/>
    <x v="2"/>
    <x v="20"/>
    <x v="1"/>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0"/>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0"/>
    <x v="0"/>
  </r>
  <r>
    <n v="13233"/>
    <x v="0"/>
    <x v="1"/>
    <n v="60000"/>
    <n v="2"/>
    <x v="1"/>
    <s v="Professional"/>
    <s v="Yes"/>
    <n v="1"/>
    <x v="4"/>
    <x v="2"/>
    <x v="42"/>
    <x v="2"/>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2"/>
    <x v="1"/>
  </r>
  <r>
    <n v="24941"/>
    <x v="0"/>
    <x v="1"/>
    <n v="60000"/>
    <n v="3"/>
    <x v="0"/>
    <s v="Management"/>
    <s v="Yes"/>
    <n v="2"/>
    <x v="4"/>
    <x v="2"/>
    <x v="29"/>
    <x v="0"/>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1"/>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1"/>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2"/>
    <x v="1"/>
  </r>
  <r>
    <n v="27393"/>
    <x v="0"/>
    <x v="0"/>
    <n v="50000"/>
    <n v="4"/>
    <x v="0"/>
    <s v="Management"/>
    <s v="Yes"/>
    <n v="2"/>
    <x v="4"/>
    <x v="2"/>
    <x v="18"/>
    <x v="2"/>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1"/>
    <x v="0"/>
  </r>
  <r>
    <n v="24725"/>
    <x v="0"/>
    <x v="0"/>
    <n v="40000"/>
    <n v="3"/>
    <x v="1"/>
    <s v="Clerical"/>
    <s v="Yes"/>
    <n v="0"/>
    <x v="3"/>
    <x v="2"/>
    <x v="23"/>
    <x v="0"/>
    <x v="0"/>
  </r>
  <r>
    <n v="23200"/>
    <x v="0"/>
    <x v="0"/>
    <n v="50000"/>
    <n v="3"/>
    <x v="0"/>
    <s v="Skilled Manual"/>
    <s v="Yes"/>
    <n v="2"/>
    <x v="0"/>
    <x v="2"/>
    <x v="3"/>
    <x v="1"/>
    <x v="0"/>
  </r>
  <r>
    <n v="15895"/>
    <x v="1"/>
    <x v="0"/>
    <n v="60000"/>
    <n v="2"/>
    <x v="0"/>
    <s v="Management"/>
    <s v="Yes"/>
    <n v="0"/>
    <x v="4"/>
    <x v="2"/>
    <x v="7"/>
    <x v="2"/>
    <x v="0"/>
  </r>
  <r>
    <n v="18577"/>
    <x v="0"/>
    <x v="0"/>
    <n v="60000"/>
    <n v="0"/>
    <x v="4"/>
    <s v="Professional"/>
    <s v="Yes"/>
    <n v="0"/>
    <x v="0"/>
    <x v="2"/>
    <x v="8"/>
    <x v="1"/>
    <x v="0"/>
  </r>
  <r>
    <n v="27218"/>
    <x v="0"/>
    <x v="0"/>
    <n v="20000"/>
    <n v="2"/>
    <x v="3"/>
    <s v="Clerical"/>
    <s v="No"/>
    <n v="0"/>
    <x v="0"/>
    <x v="2"/>
    <x v="28"/>
    <x v="0"/>
    <x v="0"/>
  </r>
  <r>
    <n v="18560"/>
    <x v="0"/>
    <x v="0"/>
    <n v="70000"/>
    <n v="2"/>
    <x v="4"/>
    <s v="Professional"/>
    <s v="Yes"/>
    <n v="0"/>
    <x v="1"/>
    <x v="2"/>
    <x v="17"/>
    <x v="1"/>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1"/>
    <x v="1"/>
  </r>
  <r>
    <n v="18847"/>
    <x v="0"/>
    <x v="0"/>
    <n v="60000"/>
    <n v="2"/>
    <x v="4"/>
    <s v="Management"/>
    <s v="Yes"/>
    <n v="2"/>
    <x v="2"/>
    <x v="2"/>
    <x v="43"/>
    <x v="0"/>
    <x v="0"/>
  </r>
  <r>
    <n v="14754"/>
    <x v="0"/>
    <x v="1"/>
    <n v="40000"/>
    <n v="1"/>
    <x v="1"/>
    <s v="Clerical"/>
    <s v="Yes"/>
    <n v="1"/>
    <x v="3"/>
    <x v="2"/>
    <x v="28"/>
    <x v="1"/>
    <x v="1"/>
  </r>
  <r>
    <n v="23378"/>
    <x v="0"/>
    <x v="1"/>
    <n v="70000"/>
    <n v="1"/>
    <x v="1"/>
    <s v="Skilled Manual"/>
    <s v="Yes"/>
    <n v="1"/>
    <x v="1"/>
    <x v="2"/>
    <x v="20"/>
    <x v="2"/>
    <x v="1"/>
  </r>
  <r>
    <n v="26452"/>
    <x v="1"/>
    <x v="1"/>
    <n v="50000"/>
    <n v="3"/>
    <x v="4"/>
    <s v="Management"/>
    <s v="Yes"/>
    <n v="2"/>
    <x v="4"/>
    <x v="2"/>
    <x v="45"/>
    <x v="0"/>
    <x v="0"/>
  </r>
  <r>
    <n v="20370"/>
    <x v="0"/>
    <x v="1"/>
    <n v="70000"/>
    <n v="3"/>
    <x v="3"/>
    <s v="Skilled Manual"/>
    <s v="Yes"/>
    <n v="2"/>
    <x v="2"/>
    <x v="2"/>
    <x v="31"/>
    <x v="1"/>
    <x v="0"/>
  </r>
  <r>
    <n v="20528"/>
    <x v="0"/>
    <x v="1"/>
    <n v="40000"/>
    <n v="2"/>
    <x v="3"/>
    <s v="Skilled Manual"/>
    <s v="Yes"/>
    <n v="2"/>
    <x v="1"/>
    <x v="2"/>
    <x v="10"/>
    <x v="0"/>
    <x v="0"/>
  </r>
  <r>
    <n v="23549"/>
    <x v="1"/>
    <x v="1"/>
    <n v="30000"/>
    <n v="0"/>
    <x v="2"/>
    <s v="Skilled Manual"/>
    <s v="Yes"/>
    <n v="2"/>
    <x v="2"/>
    <x v="2"/>
    <x v="25"/>
    <x v="0"/>
    <x v="0"/>
  </r>
  <r>
    <n v="21751"/>
    <x v="0"/>
    <x v="1"/>
    <n v="60000"/>
    <n v="3"/>
    <x v="4"/>
    <s v="Management"/>
    <s v="Yes"/>
    <n v="2"/>
    <x v="3"/>
    <x v="2"/>
    <x v="18"/>
    <x v="0"/>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1"/>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0"/>
    <x v="0"/>
  </r>
  <r>
    <n v="23089"/>
    <x v="0"/>
    <x v="1"/>
    <n v="40000"/>
    <n v="0"/>
    <x v="1"/>
    <s v="Skilled Manual"/>
    <s v="Yes"/>
    <n v="1"/>
    <x v="2"/>
    <x v="2"/>
    <x v="26"/>
    <x v="1"/>
    <x v="0"/>
  </r>
  <r>
    <n v="13749"/>
    <x v="0"/>
    <x v="1"/>
    <n v="80000"/>
    <n v="4"/>
    <x v="4"/>
    <s v="Skilled Manual"/>
    <s v="Yes"/>
    <n v="0"/>
    <x v="3"/>
    <x v="2"/>
    <x v="15"/>
    <x v="1"/>
    <x v="0"/>
  </r>
  <r>
    <n v="24943"/>
    <x v="0"/>
    <x v="1"/>
    <n v="60000"/>
    <n v="3"/>
    <x v="0"/>
    <s v="Management"/>
    <s v="Yes"/>
    <n v="2"/>
    <x v="4"/>
    <x v="2"/>
    <x v="29"/>
    <x v="0"/>
    <x v="0"/>
  </r>
  <r>
    <n v="28667"/>
    <x v="1"/>
    <x v="1"/>
    <n v="70000"/>
    <n v="2"/>
    <x v="0"/>
    <s v="Skilled Manual"/>
    <s v="No"/>
    <n v="1"/>
    <x v="0"/>
    <x v="2"/>
    <x v="34"/>
    <x v="1"/>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2"/>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0"/>
    <x v="0"/>
  </r>
  <r>
    <n v="18058"/>
    <x v="1"/>
    <x v="0"/>
    <n v="20000"/>
    <n v="3"/>
    <x v="2"/>
    <s v="Skilled Manual"/>
    <s v="Yes"/>
    <n v="2"/>
    <x v="1"/>
    <x v="2"/>
    <x v="44"/>
    <x v="0"/>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2"/>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0"/>
    <x v="1"/>
  </r>
  <r>
    <n v="11644"/>
    <x v="1"/>
    <x v="1"/>
    <n v="40000"/>
    <n v="2"/>
    <x v="0"/>
    <s v="Skilled Manual"/>
    <s v="Yes"/>
    <n v="0"/>
    <x v="1"/>
    <x v="2"/>
    <x v="4"/>
    <x v="2"/>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1"/>
    <x v="0"/>
  </r>
  <r>
    <n v="22994"/>
    <x v="0"/>
    <x v="0"/>
    <n v="80000"/>
    <n v="0"/>
    <x v="0"/>
    <s v="Management"/>
    <s v="Yes"/>
    <n v="1"/>
    <x v="3"/>
    <x v="2"/>
    <x v="17"/>
    <x v="2"/>
    <x v="1"/>
  </r>
  <r>
    <n v="22983"/>
    <x v="1"/>
    <x v="0"/>
    <n v="30000"/>
    <n v="0"/>
    <x v="3"/>
    <s v="Clerical"/>
    <s v="Yes"/>
    <n v="2"/>
    <x v="2"/>
    <x v="2"/>
    <x v="40"/>
    <x v="1"/>
    <x v="0"/>
  </r>
  <r>
    <n v="25184"/>
    <x v="1"/>
    <x v="1"/>
    <n v="110000"/>
    <n v="1"/>
    <x v="1"/>
    <s v="Professional"/>
    <s v="Yes"/>
    <n v="4"/>
    <x v="2"/>
    <x v="2"/>
    <x v="12"/>
    <x v="2"/>
    <x v="1"/>
  </r>
  <r>
    <n v="14469"/>
    <x v="0"/>
    <x v="0"/>
    <n v="100000"/>
    <n v="3"/>
    <x v="1"/>
    <s v="Professional"/>
    <s v="Yes"/>
    <n v="4"/>
    <x v="3"/>
    <x v="2"/>
    <x v="12"/>
    <x v="1"/>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2"/>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1"/>
    <x v="0"/>
  </r>
  <r>
    <n v="23672"/>
    <x v="0"/>
    <x v="0"/>
    <n v="60000"/>
    <n v="3"/>
    <x v="4"/>
    <s v="Management"/>
    <s v="Yes"/>
    <n v="2"/>
    <x v="3"/>
    <x v="2"/>
    <x v="41"/>
    <x v="1"/>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0"/>
    <x v="0"/>
  </r>
  <r>
    <n v="24745"/>
    <x v="1"/>
    <x v="0"/>
    <n v="30000"/>
    <n v="2"/>
    <x v="2"/>
    <s v="Skilled Manual"/>
    <s v="No"/>
    <n v="2"/>
    <x v="0"/>
    <x v="2"/>
    <x v="38"/>
    <x v="1"/>
    <x v="0"/>
  </r>
  <r>
    <n v="29237"/>
    <x v="1"/>
    <x v="0"/>
    <n v="120000"/>
    <n v="4"/>
    <x v="1"/>
    <s v="Professional"/>
    <s v="Yes"/>
    <n v="3"/>
    <x v="2"/>
    <x v="2"/>
    <x v="1"/>
    <x v="0"/>
    <x v="1"/>
  </r>
  <r>
    <n v="15272"/>
    <x v="1"/>
    <x v="1"/>
    <n v="40000"/>
    <n v="0"/>
    <x v="2"/>
    <s v="Skilled Manual"/>
    <s v="No"/>
    <n v="2"/>
    <x v="3"/>
    <x v="2"/>
    <x v="25"/>
    <x v="1"/>
    <x v="0"/>
  </r>
  <r>
    <n v="18949"/>
    <x v="1"/>
    <x v="1"/>
    <n v="70000"/>
    <n v="0"/>
    <x v="4"/>
    <s v="Management"/>
    <s v="Yes"/>
    <n v="2"/>
    <x v="2"/>
    <x v="2"/>
    <x v="50"/>
    <x v="0"/>
    <x v="1"/>
  </r>
  <r>
    <n v="14507"/>
    <x v="0"/>
    <x v="1"/>
    <n v="100000"/>
    <n v="2"/>
    <x v="4"/>
    <s v="Management"/>
    <s v="Yes"/>
    <n v="3"/>
    <x v="3"/>
    <x v="2"/>
    <x v="27"/>
    <x v="0"/>
    <x v="0"/>
  </r>
  <r>
    <n v="25886"/>
    <x v="0"/>
    <x v="0"/>
    <n v="60000"/>
    <n v="2"/>
    <x v="1"/>
    <s v="Professional"/>
    <s v="Yes"/>
    <n v="2"/>
    <x v="1"/>
    <x v="2"/>
    <x v="16"/>
    <x v="0"/>
    <x v="1"/>
  </r>
  <r>
    <n v="21441"/>
    <x v="0"/>
    <x v="1"/>
    <n v="50000"/>
    <n v="4"/>
    <x v="0"/>
    <s v="Management"/>
    <s v="Yes"/>
    <n v="2"/>
    <x v="4"/>
    <x v="2"/>
    <x v="46"/>
    <x v="0"/>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1"/>
    <x v="0"/>
  </r>
  <r>
    <n v="22010"/>
    <x v="1"/>
    <x v="1"/>
    <n v="40000"/>
    <n v="0"/>
    <x v="2"/>
    <s v="Skilled Manual"/>
    <s v="Yes"/>
    <n v="2"/>
    <x v="2"/>
    <x v="2"/>
    <x v="23"/>
    <x v="0"/>
    <x v="0"/>
  </r>
  <r>
    <n v="25872"/>
    <x v="1"/>
    <x v="0"/>
    <n v="70000"/>
    <n v="2"/>
    <x v="0"/>
    <s v="Management"/>
    <s v="No"/>
    <n v="1"/>
    <x v="1"/>
    <x v="2"/>
    <x v="7"/>
    <x v="2"/>
    <x v="1"/>
  </r>
  <r>
    <n v="19164"/>
    <x v="1"/>
    <x v="0"/>
    <n v="70000"/>
    <n v="0"/>
    <x v="0"/>
    <s v="Professional"/>
    <s v="No"/>
    <n v="1"/>
    <x v="1"/>
    <x v="2"/>
    <x v="13"/>
    <x v="0"/>
    <x v="1"/>
  </r>
  <r>
    <n v="18435"/>
    <x v="1"/>
    <x v="0"/>
    <n v="70000"/>
    <n v="5"/>
    <x v="4"/>
    <s v="Management"/>
    <s v="Yes"/>
    <n v="2"/>
    <x v="4"/>
    <x v="2"/>
    <x v="41"/>
    <x v="0"/>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1"/>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1"/>
    <x v="0"/>
  </r>
  <r>
    <n v="19133"/>
    <x v="1"/>
    <x v="1"/>
    <n v="50000"/>
    <n v="2"/>
    <x v="0"/>
    <s v="Skilled Manual"/>
    <s v="Yes"/>
    <n v="1"/>
    <x v="1"/>
    <x v="2"/>
    <x v="13"/>
    <x v="0"/>
    <x v="1"/>
  </r>
  <r>
    <n v="24643"/>
    <x v="1"/>
    <x v="0"/>
    <n v="60000"/>
    <n v="4"/>
    <x v="0"/>
    <s v="Management"/>
    <s v="Yes"/>
    <n v="2"/>
    <x v="4"/>
    <x v="2"/>
    <x v="18"/>
    <x v="2"/>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1"/>
    <x v="0"/>
  </r>
  <r>
    <n v="17864"/>
    <x v="0"/>
    <x v="0"/>
    <n v="60000"/>
    <n v="1"/>
    <x v="1"/>
    <s v="Skilled Manual"/>
    <s v="Yes"/>
    <n v="1"/>
    <x v="1"/>
    <x v="2"/>
    <x v="30"/>
    <x v="1"/>
    <x v="1"/>
  </r>
  <r>
    <n v="20505"/>
    <x v="0"/>
    <x v="0"/>
    <n v="40000"/>
    <n v="5"/>
    <x v="2"/>
    <s v="Professional"/>
    <s v="No"/>
    <n v="2"/>
    <x v="4"/>
    <x v="2"/>
    <x v="33"/>
    <x v="0"/>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2"/>
    <x v="0"/>
  </r>
  <r>
    <n v="18517"/>
    <x v="0"/>
    <x v="1"/>
    <n v="100000"/>
    <n v="3"/>
    <x v="0"/>
    <s v="Management"/>
    <s v="Yes"/>
    <n v="4"/>
    <x v="0"/>
    <x v="2"/>
    <x v="3"/>
    <x v="2"/>
    <x v="0"/>
  </r>
  <r>
    <n v="21717"/>
    <x v="0"/>
    <x v="1"/>
    <n v="40000"/>
    <n v="2"/>
    <x v="1"/>
    <s v="Clerical"/>
    <s v="Yes"/>
    <n v="1"/>
    <x v="0"/>
    <x v="2"/>
    <x v="15"/>
    <x v="2"/>
    <x v="0"/>
  </r>
  <r>
    <n v="13760"/>
    <x v="0"/>
    <x v="1"/>
    <n v="60000"/>
    <n v="4"/>
    <x v="4"/>
    <s v="Skilled Manual"/>
    <s v="No"/>
    <n v="0"/>
    <x v="0"/>
    <x v="2"/>
    <x v="15"/>
    <x v="0"/>
    <x v="0"/>
  </r>
  <r>
    <n v="18145"/>
    <x v="0"/>
    <x v="1"/>
    <n v="80000"/>
    <n v="5"/>
    <x v="0"/>
    <s v="Management"/>
    <s v="No"/>
    <n v="2"/>
    <x v="1"/>
    <x v="0"/>
    <x v="24"/>
    <x v="0"/>
    <x v="0"/>
  </r>
  <r>
    <n v="21770"/>
    <x v="0"/>
    <x v="1"/>
    <n v="60000"/>
    <n v="4"/>
    <x v="0"/>
    <s v="Management"/>
    <s v="Yes"/>
    <n v="2"/>
    <x v="4"/>
    <x v="2"/>
    <x v="2"/>
    <x v="0"/>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2"/>
    <x v="0"/>
  </r>
  <r>
    <n v="29133"/>
    <x v="1"/>
    <x v="0"/>
    <n v="60000"/>
    <n v="4"/>
    <x v="0"/>
    <s v="Skilled Manual"/>
    <s v="No"/>
    <n v="2"/>
    <x v="0"/>
    <x v="2"/>
    <x v="0"/>
    <x v="2"/>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1"/>
    <x v="0"/>
  </r>
  <r>
    <n v="11699"/>
    <x v="1"/>
    <x v="1"/>
    <n v="60000"/>
    <n v="0"/>
    <x v="0"/>
    <s v="Skilled Manual"/>
    <s v="No"/>
    <n v="2"/>
    <x v="0"/>
    <x v="2"/>
    <x v="25"/>
    <x v="2"/>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1"/>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1"/>
    <x v="0"/>
  </r>
  <r>
    <n v="29112"/>
    <x v="1"/>
    <x v="1"/>
    <n v="60000"/>
    <n v="0"/>
    <x v="1"/>
    <s v="Professional"/>
    <s v="No"/>
    <n v="2"/>
    <x v="3"/>
    <x v="2"/>
    <x v="25"/>
    <x v="1"/>
    <x v="0"/>
  </r>
  <r>
    <n v="14090"/>
    <x v="0"/>
    <x v="0"/>
    <n v="30000"/>
    <n v="0"/>
    <x v="3"/>
    <s v="Clerical"/>
    <s v="No"/>
    <n v="2"/>
    <x v="0"/>
    <x v="2"/>
    <x v="26"/>
    <x v="0"/>
    <x v="0"/>
  </r>
  <r>
    <n v="27040"/>
    <x v="0"/>
    <x v="1"/>
    <n v="20000"/>
    <n v="2"/>
    <x v="3"/>
    <s v="Clerical"/>
    <s v="Yes"/>
    <n v="2"/>
    <x v="3"/>
    <x v="2"/>
    <x v="38"/>
    <x v="1"/>
    <x v="0"/>
  </r>
  <r>
    <n v="23479"/>
    <x v="1"/>
    <x v="1"/>
    <n v="90000"/>
    <n v="0"/>
    <x v="1"/>
    <s v="Professional"/>
    <s v="No"/>
    <n v="2"/>
    <x v="0"/>
    <x v="2"/>
    <x v="1"/>
    <x v="1"/>
    <x v="1"/>
  </r>
  <r>
    <n v="16795"/>
    <x v="0"/>
    <x v="0"/>
    <n v="70000"/>
    <n v="4"/>
    <x v="0"/>
    <s v="Management"/>
    <s v="Yes"/>
    <n v="1"/>
    <x v="3"/>
    <x v="2"/>
    <x v="14"/>
    <x v="0"/>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1"/>
    <x v="1"/>
  </r>
  <r>
    <n v="18069"/>
    <x v="0"/>
    <x v="1"/>
    <n v="70000"/>
    <n v="5"/>
    <x v="0"/>
    <s v="Management"/>
    <s v="Yes"/>
    <n v="4"/>
    <x v="4"/>
    <x v="2"/>
    <x v="2"/>
    <x v="0"/>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2"/>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0"/>
    <x v="1"/>
  </r>
  <r>
    <n v="13287"/>
    <x v="1"/>
    <x v="1"/>
    <n v="110000"/>
    <n v="4"/>
    <x v="0"/>
    <s v="Management"/>
    <s v="Yes"/>
    <n v="4"/>
    <x v="2"/>
    <x v="2"/>
    <x v="0"/>
    <x v="0"/>
    <x v="1"/>
  </r>
  <r>
    <n v="14493"/>
    <x v="1"/>
    <x v="0"/>
    <n v="70000"/>
    <n v="3"/>
    <x v="4"/>
    <s v="Management"/>
    <s v="No"/>
    <n v="2"/>
    <x v="3"/>
    <x v="2"/>
    <x v="39"/>
    <x v="2"/>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2"/>
    <x v="1"/>
  </r>
  <r>
    <n v="27731"/>
    <x v="0"/>
    <x v="1"/>
    <n v="40000"/>
    <n v="0"/>
    <x v="2"/>
    <s v="Skilled Manual"/>
    <s v="Yes"/>
    <n v="2"/>
    <x v="2"/>
    <x v="2"/>
    <x v="40"/>
    <x v="0"/>
    <x v="0"/>
  </r>
  <r>
    <n v="11886"/>
    <x v="0"/>
    <x v="0"/>
    <n v="60000"/>
    <n v="3"/>
    <x v="0"/>
    <s v="Professional"/>
    <s v="Yes"/>
    <n v="1"/>
    <x v="0"/>
    <x v="2"/>
    <x v="28"/>
    <x v="2"/>
    <x v="1"/>
  </r>
  <r>
    <n v="24324"/>
    <x v="1"/>
    <x v="0"/>
    <n v="60000"/>
    <n v="4"/>
    <x v="0"/>
    <s v="Skilled Manual"/>
    <s v="Yes"/>
    <n v="2"/>
    <x v="1"/>
    <x v="2"/>
    <x v="3"/>
    <x v="0"/>
    <x v="1"/>
  </r>
  <r>
    <n v="22220"/>
    <x v="0"/>
    <x v="1"/>
    <n v="60000"/>
    <n v="2"/>
    <x v="2"/>
    <s v="Professional"/>
    <s v="No"/>
    <n v="2"/>
    <x v="3"/>
    <x v="2"/>
    <x v="38"/>
    <x v="1"/>
    <x v="1"/>
  </r>
  <r>
    <n v="26625"/>
    <x v="1"/>
    <x v="0"/>
    <n v="60000"/>
    <n v="0"/>
    <x v="4"/>
    <s v="Professional"/>
    <s v="Yes"/>
    <n v="1"/>
    <x v="1"/>
    <x v="2"/>
    <x v="13"/>
    <x v="0"/>
    <x v="1"/>
  </r>
  <r>
    <n v="23027"/>
    <x v="1"/>
    <x v="1"/>
    <n v="130000"/>
    <n v="1"/>
    <x v="0"/>
    <s v="Management"/>
    <s v="No"/>
    <n v="4"/>
    <x v="0"/>
    <x v="2"/>
    <x v="20"/>
    <x v="1"/>
    <x v="0"/>
  </r>
  <r>
    <n v="16867"/>
    <x v="1"/>
    <x v="0"/>
    <n v="130000"/>
    <n v="1"/>
    <x v="0"/>
    <s v="Management"/>
    <s v="No"/>
    <n v="3"/>
    <x v="0"/>
    <x v="2"/>
    <x v="12"/>
    <x v="0"/>
    <x v="1"/>
  </r>
  <r>
    <n v="14514"/>
    <x v="1"/>
    <x v="0"/>
    <n v="30000"/>
    <n v="0"/>
    <x v="1"/>
    <s v="Skilled Manual"/>
    <s v="Yes"/>
    <n v="1"/>
    <x v="2"/>
    <x v="2"/>
    <x v="22"/>
    <x v="1"/>
    <x v="0"/>
  </r>
  <r>
    <n v="19634"/>
    <x v="0"/>
    <x v="1"/>
    <n v="40000"/>
    <n v="0"/>
    <x v="2"/>
    <s v="Skilled Manual"/>
    <s v="Yes"/>
    <n v="1"/>
    <x v="2"/>
    <x v="2"/>
    <x v="23"/>
    <x v="1"/>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1"/>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2"/>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1"/>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2"/>
    <x v="1"/>
  </r>
  <r>
    <n v="11783"/>
    <x v="0"/>
    <x v="0"/>
    <n v="60000"/>
    <n v="1"/>
    <x v="4"/>
    <s v="Skilled Manual"/>
    <s v="Yes"/>
    <n v="0"/>
    <x v="0"/>
    <x v="2"/>
    <x v="17"/>
    <x v="0"/>
    <x v="0"/>
  </r>
  <r>
    <n v="14602"/>
    <x v="0"/>
    <x v="0"/>
    <n v="80000"/>
    <n v="3"/>
    <x v="4"/>
    <s v="Professional"/>
    <s v="Yes"/>
    <n v="0"/>
    <x v="0"/>
    <x v="2"/>
    <x v="4"/>
    <x v="1"/>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0"/>
    <x v="0"/>
  </r>
  <r>
    <n v="17260"/>
    <x v="0"/>
    <x v="1"/>
    <n v="90000"/>
    <n v="5"/>
    <x v="1"/>
    <s v="Professional"/>
    <s v="Yes"/>
    <n v="3"/>
    <x v="0"/>
    <x v="2"/>
    <x v="3"/>
    <x v="2"/>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1"/>
    <x v="0"/>
  </r>
  <r>
    <n v="16112"/>
    <x v="1"/>
    <x v="1"/>
    <n v="70000"/>
    <n v="4"/>
    <x v="0"/>
    <s v="Professional"/>
    <s v="Yes"/>
    <n v="2"/>
    <x v="1"/>
    <x v="2"/>
    <x v="1"/>
    <x v="0"/>
    <x v="1"/>
  </r>
  <r>
    <n v="20698"/>
    <x v="0"/>
    <x v="1"/>
    <n v="60000"/>
    <n v="4"/>
    <x v="0"/>
    <s v="Skilled Manual"/>
    <s v="Yes"/>
    <n v="3"/>
    <x v="2"/>
    <x v="2"/>
    <x v="0"/>
    <x v="1"/>
    <x v="0"/>
  </r>
  <r>
    <n v="20076"/>
    <x v="1"/>
    <x v="0"/>
    <n v="10000"/>
    <n v="2"/>
    <x v="2"/>
    <s v="Manual"/>
    <s v="Yes"/>
    <n v="2"/>
    <x v="3"/>
    <x v="2"/>
    <x v="39"/>
    <x v="2"/>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1"/>
    <x v="0"/>
  </r>
  <r>
    <n v="22221"/>
    <x v="0"/>
    <x v="1"/>
    <n v="60000"/>
    <n v="2"/>
    <x v="2"/>
    <s v="Professional"/>
    <s v="No"/>
    <n v="2"/>
    <x v="3"/>
    <x v="2"/>
    <x v="28"/>
    <x v="2"/>
    <x v="1"/>
  </r>
  <r>
    <n v="28228"/>
    <x v="1"/>
    <x v="0"/>
    <n v="80000"/>
    <n v="2"/>
    <x v="3"/>
    <s v="Skilled Manual"/>
    <s v="No"/>
    <n v="2"/>
    <x v="3"/>
    <x v="2"/>
    <x v="5"/>
    <x v="2"/>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0"/>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0"/>
    <x v="1"/>
  </r>
  <r>
    <n v="15287"/>
    <x v="1"/>
    <x v="0"/>
    <n v="50000"/>
    <n v="1"/>
    <x v="4"/>
    <s v="Skilled Manual"/>
    <s v="Yes"/>
    <n v="0"/>
    <x v="3"/>
    <x v="2"/>
    <x v="6"/>
    <x v="1"/>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2"/>
    <x v="0"/>
  </r>
  <r>
    <n v="23248"/>
    <x v="0"/>
    <x v="0"/>
    <n v="10000"/>
    <n v="2"/>
    <x v="2"/>
    <s v="Manual"/>
    <s v="Yes"/>
    <n v="2"/>
    <x v="3"/>
    <x v="2"/>
    <x v="39"/>
    <x v="2"/>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0"/>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0"/>
    <x v="0"/>
  </r>
  <r>
    <n v="25899"/>
    <x v="0"/>
    <x v="0"/>
    <n v="70000"/>
    <n v="2"/>
    <x v="2"/>
    <s v="Professional"/>
    <s v="Yes"/>
    <n v="2"/>
    <x v="4"/>
    <x v="2"/>
    <x v="39"/>
    <x v="0"/>
    <x v="0"/>
  </r>
  <r>
    <n v="13351"/>
    <x v="1"/>
    <x v="0"/>
    <n v="70000"/>
    <n v="4"/>
    <x v="0"/>
    <s v="Management"/>
    <s v="Yes"/>
    <n v="2"/>
    <x v="3"/>
    <x v="2"/>
    <x v="24"/>
    <x v="0"/>
    <x v="1"/>
  </r>
  <r>
    <n v="23333"/>
    <x v="0"/>
    <x v="1"/>
    <n v="40000"/>
    <n v="0"/>
    <x v="1"/>
    <s v="Skilled Manual"/>
    <s v="No"/>
    <n v="2"/>
    <x v="3"/>
    <x v="2"/>
    <x v="25"/>
    <x v="2"/>
    <x v="0"/>
  </r>
  <r>
    <n v="21660"/>
    <x v="0"/>
    <x v="0"/>
    <n v="60000"/>
    <n v="3"/>
    <x v="4"/>
    <s v="Professional"/>
    <s v="Yes"/>
    <n v="0"/>
    <x v="1"/>
    <x v="2"/>
    <x v="1"/>
    <x v="1"/>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2"/>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1"/>
    <x v="0"/>
  </r>
  <r>
    <n v="16009"/>
    <x v="1"/>
    <x v="1"/>
    <n v="170000"/>
    <n v="1"/>
    <x v="4"/>
    <s v="Management"/>
    <s v="No"/>
    <n v="4"/>
    <x v="0"/>
    <x v="2"/>
    <x v="29"/>
    <x v="0"/>
    <x v="0"/>
  </r>
  <r>
    <n v="18411"/>
    <x v="0"/>
    <x v="1"/>
    <n v="60000"/>
    <n v="2"/>
    <x v="2"/>
    <s v="Professional"/>
    <s v="No"/>
    <n v="2"/>
    <x v="2"/>
    <x v="2"/>
    <x v="36"/>
    <x v="0"/>
    <x v="0"/>
  </r>
  <r>
    <n v="19163"/>
    <x v="0"/>
    <x v="0"/>
    <n v="70000"/>
    <n v="4"/>
    <x v="0"/>
    <s v="Professional"/>
    <s v="Yes"/>
    <n v="2"/>
    <x v="0"/>
    <x v="2"/>
    <x v="1"/>
    <x v="1"/>
    <x v="1"/>
  </r>
  <r>
    <n v="18572"/>
    <x v="0"/>
    <x v="0"/>
    <n v="60000"/>
    <n v="0"/>
    <x v="4"/>
    <s v="Professional"/>
    <s v="Yes"/>
    <n v="0"/>
    <x v="0"/>
    <x v="2"/>
    <x v="32"/>
    <x v="0"/>
    <x v="0"/>
  </r>
  <r>
    <n v="27540"/>
    <x v="1"/>
    <x v="0"/>
    <n v="70000"/>
    <n v="0"/>
    <x v="0"/>
    <s v="Professional"/>
    <s v="No"/>
    <n v="1"/>
    <x v="0"/>
    <x v="2"/>
    <x v="34"/>
    <x v="1"/>
    <x v="1"/>
  </r>
  <r>
    <n v="19889"/>
    <x v="1"/>
    <x v="0"/>
    <n v="70000"/>
    <n v="2"/>
    <x v="3"/>
    <s v="Skilled Manual"/>
    <s v="No"/>
    <n v="2"/>
    <x v="1"/>
    <x v="2"/>
    <x v="9"/>
    <x v="2"/>
    <x v="1"/>
  </r>
  <r>
    <n v="12922"/>
    <x v="1"/>
    <x v="0"/>
    <n v="60000"/>
    <n v="3"/>
    <x v="0"/>
    <s v="Skilled Manual"/>
    <s v="Yes"/>
    <n v="0"/>
    <x v="1"/>
    <x v="2"/>
    <x v="8"/>
    <x v="0"/>
    <x v="1"/>
  </r>
  <r>
    <n v="18891"/>
    <x v="0"/>
    <x v="0"/>
    <n v="40000"/>
    <n v="0"/>
    <x v="1"/>
    <s v="Skilled Manual"/>
    <s v="Yes"/>
    <n v="2"/>
    <x v="2"/>
    <x v="2"/>
    <x v="26"/>
    <x v="1"/>
    <x v="0"/>
  </r>
  <r>
    <n v="16773"/>
    <x v="0"/>
    <x v="1"/>
    <n v="60000"/>
    <n v="1"/>
    <x v="4"/>
    <s v="Skilled Manual"/>
    <s v="Yes"/>
    <n v="0"/>
    <x v="0"/>
    <x v="2"/>
    <x v="6"/>
    <x v="1"/>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0"/>
    <x v="0"/>
  </r>
  <r>
    <n v="15555"/>
    <x v="0"/>
    <x v="0"/>
    <n v="60000"/>
    <n v="1"/>
    <x v="1"/>
    <s v="Skilled Manual"/>
    <s v="Yes"/>
    <n v="1"/>
    <x v="1"/>
    <x v="2"/>
    <x v="12"/>
    <x v="0"/>
    <x v="1"/>
  </r>
  <r>
    <n v="18423"/>
    <x v="1"/>
    <x v="1"/>
    <n v="80000"/>
    <n v="2"/>
    <x v="3"/>
    <s v="Skilled Manual"/>
    <s v="No"/>
    <n v="2"/>
    <x v="3"/>
    <x v="2"/>
    <x v="31"/>
    <x v="2"/>
    <x v="0"/>
  </r>
  <r>
    <n v="22743"/>
    <x v="0"/>
    <x v="0"/>
    <n v="40000"/>
    <n v="5"/>
    <x v="2"/>
    <s v="Professional"/>
    <s v="Yes"/>
    <n v="2"/>
    <x v="4"/>
    <x v="2"/>
    <x v="2"/>
    <x v="0"/>
    <x v="0"/>
  </r>
  <r>
    <n v="25343"/>
    <x v="1"/>
    <x v="0"/>
    <n v="20000"/>
    <n v="3"/>
    <x v="3"/>
    <s v="Clerical"/>
    <s v="Yes"/>
    <n v="2"/>
    <x v="3"/>
    <x v="2"/>
    <x v="5"/>
    <x v="0"/>
    <x v="0"/>
  </r>
  <r>
    <n v="13390"/>
    <x v="0"/>
    <x v="0"/>
    <n v="70000"/>
    <n v="4"/>
    <x v="1"/>
    <s v="Professional"/>
    <s v="No"/>
    <n v="1"/>
    <x v="3"/>
    <x v="2"/>
    <x v="16"/>
    <x v="0"/>
    <x v="0"/>
  </r>
  <r>
    <n v="17482"/>
    <x v="1"/>
    <x v="0"/>
    <n v="40000"/>
    <n v="0"/>
    <x v="3"/>
    <s v="Clerical"/>
    <s v="Yes"/>
    <n v="2"/>
    <x v="2"/>
    <x v="2"/>
    <x v="19"/>
    <x v="0"/>
    <x v="0"/>
  </r>
  <r>
    <n v="13176"/>
    <x v="1"/>
    <x v="1"/>
    <n v="130000"/>
    <n v="0"/>
    <x v="4"/>
    <s v="Management"/>
    <s v="No"/>
    <n v="2"/>
    <x v="0"/>
    <x v="2"/>
    <x v="13"/>
    <x v="0"/>
    <x v="1"/>
  </r>
  <r>
    <n v="20504"/>
    <x v="0"/>
    <x v="0"/>
    <n v="40000"/>
    <n v="5"/>
    <x v="2"/>
    <s v="Professional"/>
    <s v="No"/>
    <n v="2"/>
    <x v="1"/>
    <x v="2"/>
    <x v="2"/>
    <x v="0"/>
    <x v="0"/>
  </r>
  <r>
    <n v="12205"/>
    <x v="1"/>
    <x v="0"/>
    <n v="130000"/>
    <n v="2"/>
    <x v="0"/>
    <s v="Management"/>
    <s v="No"/>
    <n v="4"/>
    <x v="0"/>
    <x v="2"/>
    <x v="41"/>
    <x v="0"/>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1"/>
    <x v="1"/>
  </r>
  <r>
    <n v="17519"/>
    <x v="0"/>
    <x v="0"/>
    <n v="60000"/>
    <n v="0"/>
    <x v="1"/>
    <s v="Professional"/>
    <s v="Yes"/>
    <n v="2"/>
    <x v="2"/>
    <x v="2"/>
    <x v="21"/>
    <x v="0"/>
    <x v="0"/>
  </r>
  <r>
    <n v="18347"/>
    <x v="1"/>
    <x v="0"/>
    <n v="30000"/>
    <n v="0"/>
    <x v="1"/>
    <s v="Skilled Manual"/>
    <s v="No"/>
    <n v="1"/>
    <x v="3"/>
    <x v="2"/>
    <x v="23"/>
    <x v="1"/>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1"/>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2"/>
    <x v="1"/>
  </r>
  <r>
    <n v="25041"/>
    <x v="1"/>
    <x v="1"/>
    <n v="40000"/>
    <n v="0"/>
    <x v="2"/>
    <s v="Skilled Manual"/>
    <s v="Yes"/>
    <n v="2"/>
    <x v="2"/>
    <x v="2"/>
    <x v="23"/>
    <x v="1"/>
    <x v="0"/>
  </r>
  <r>
    <n v="22046"/>
    <x v="1"/>
    <x v="0"/>
    <n v="80000"/>
    <n v="0"/>
    <x v="0"/>
    <s v="Management"/>
    <s v="No"/>
    <n v="1"/>
    <x v="0"/>
    <x v="2"/>
    <x v="13"/>
    <x v="1"/>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0"/>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0"/>
    <x v="1"/>
  </r>
  <r>
    <n v="14872"/>
    <x v="0"/>
    <x v="1"/>
    <n v="30000"/>
    <n v="0"/>
    <x v="4"/>
    <s v="Skilled Manual"/>
    <s v="Yes"/>
    <n v="0"/>
    <x v="0"/>
    <x v="2"/>
    <x v="21"/>
    <x v="1"/>
    <x v="0"/>
  </r>
  <r>
    <n v="16151"/>
    <x v="0"/>
    <x v="0"/>
    <n v="60000"/>
    <n v="1"/>
    <x v="0"/>
    <s v="Professional"/>
    <s v="Yes"/>
    <n v="1"/>
    <x v="1"/>
    <x v="2"/>
    <x v="28"/>
    <x v="0"/>
    <x v="1"/>
  </r>
  <r>
    <n v="19731"/>
    <x v="0"/>
    <x v="1"/>
    <n v="80000"/>
    <n v="4"/>
    <x v="4"/>
    <s v="Management"/>
    <s v="Yes"/>
    <n v="2"/>
    <x v="2"/>
    <x v="2"/>
    <x v="35"/>
    <x v="2"/>
    <x v="0"/>
  </r>
  <r>
    <n v="23801"/>
    <x v="0"/>
    <x v="0"/>
    <n v="20000"/>
    <n v="2"/>
    <x v="3"/>
    <s v="Clerical"/>
    <s v="Yes"/>
    <n v="2"/>
    <x v="0"/>
    <x v="2"/>
    <x v="38"/>
    <x v="1"/>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1"/>
    <x v="0"/>
  </r>
  <r>
    <n v="13415"/>
    <x v="1"/>
    <x v="1"/>
    <n v="100000"/>
    <n v="1"/>
    <x v="4"/>
    <s v="Management"/>
    <s v="Yes"/>
    <n v="3"/>
    <x v="1"/>
    <x v="2"/>
    <x v="49"/>
    <x v="0"/>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1"/>
    <x v="1"/>
  </r>
  <r>
    <n v="20401"/>
    <x v="0"/>
    <x v="0"/>
    <n v="50000"/>
    <n v="4"/>
    <x v="0"/>
    <s v="Management"/>
    <s v="Yes"/>
    <n v="2"/>
    <x v="3"/>
    <x v="2"/>
    <x v="46"/>
    <x v="0"/>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1"/>
    <x v="0"/>
  </r>
  <r>
    <n v="14432"/>
    <x v="1"/>
    <x v="1"/>
    <n v="90000"/>
    <n v="4"/>
    <x v="4"/>
    <s v="Management"/>
    <s v="Yes"/>
    <n v="1"/>
    <x v="2"/>
    <x v="2"/>
    <x v="49"/>
    <x v="0"/>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1"/>
    <x v="1"/>
  </r>
  <r>
    <n v="19747"/>
    <x v="0"/>
    <x v="1"/>
    <n v="50000"/>
    <n v="4"/>
    <x v="0"/>
    <s v="Management"/>
    <s v="Yes"/>
    <n v="2"/>
    <x v="4"/>
    <x v="2"/>
    <x v="18"/>
    <x v="0"/>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0"/>
    <x v="0"/>
  </r>
  <r>
    <n v="27190"/>
    <x v="0"/>
    <x v="0"/>
    <n v="40000"/>
    <n v="3"/>
    <x v="1"/>
    <s v="Clerical"/>
    <s v="Yes"/>
    <n v="1"/>
    <x v="3"/>
    <x v="2"/>
    <x v="21"/>
    <x v="0"/>
    <x v="0"/>
  </r>
  <r>
    <n v="28657"/>
    <x v="1"/>
    <x v="1"/>
    <n v="60000"/>
    <n v="2"/>
    <x v="0"/>
    <s v="Skilled Manual"/>
    <s v="Yes"/>
    <n v="0"/>
    <x v="1"/>
    <x v="2"/>
    <x v="4"/>
    <x v="1"/>
    <x v="1"/>
  </r>
  <r>
    <n v="21713"/>
    <x v="1"/>
    <x v="1"/>
    <n v="80000"/>
    <n v="5"/>
    <x v="4"/>
    <s v="Skilled Manual"/>
    <s v="No"/>
    <n v="0"/>
    <x v="0"/>
    <x v="2"/>
    <x v="15"/>
    <x v="0"/>
    <x v="0"/>
  </r>
  <r>
    <n v="21752"/>
    <x v="0"/>
    <x v="1"/>
    <n v="60000"/>
    <n v="3"/>
    <x v="4"/>
    <s v="Management"/>
    <s v="Yes"/>
    <n v="2"/>
    <x v="4"/>
    <x v="2"/>
    <x v="46"/>
    <x v="0"/>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2"/>
    <x v="0"/>
  </r>
  <r>
    <n v="20754"/>
    <x v="0"/>
    <x v="1"/>
    <n v="30000"/>
    <n v="2"/>
    <x v="2"/>
    <s v="Skilled Manual"/>
    <s v="Yes"/>
    <n v="2"/>
    <x v="3"/>
    <x v="2"/>
    <x v="36"/>
    <x v="2"/>
    <x v="0"/>
  </r>
  <r>
    <n v="12153"/>
    <x v="1"/>
    <x v="0"/>
    <n v="70000"/>
    <n v="3"/>
    <x v="1"/>
    <s v="Professional"/>
    <s v="Yes"/>
    <n v="1"/>
    <x v="2"/>
    <x v="2"/>
    <x v="38"/>
    <x v="1"/>
    <x v="1"/>
  </r>
  <r>
    <n v="16895"/>
    <x v="0"/>
    <x v="0"/>
    <n v="40000"/>
    <n v="3"/>
    <x v="1"/>
    <s v="Professional"/>
    <s v="No"/>
    <n v="2"/>
    <x v="3"/>
    <x v="2"/>
    <x v="9"/>
    <x v="0"/>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2"/>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0"/>
    <x v="1"/>
  </r>
  <r>
    <n v="11941"/>
    <x v="1"/>
    <x v="1"/>
    <n v="60000"/>
    <n v="0"/>
    <x v="1"/>
    <s v="Skilled Manual"/>
    <s v="Yes"/>
    <n v="0"/>
    <x v="2"/>
    <x v="2"/>
    <x v="19"/>
    <x v="1"/>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0"/>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1"/>
    <x v="0"/>
  </r>
  <r>
    <n v="15292"/>
    <x v="1"/>
    <x v="0"/>
    <n v="60000"/>
    <n v="1"/>
    <x v="4"/>
    <s v="Skilled Manual"/>
    <s v="Yes"/>
    <n v="0"/>
    <x v="3"/>
    <x v="2"/>
    <x v="11"/>
    <x v="2"/>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2"/>
    <x v="1"/>
  </r>
  <r>
    <n v="25419"/>
    <x v="1"/>
    <x v="1"/>
    <n v="50000"/>
    <n v="2"/>
    <x v="0"/>
    <s v="Skilled Manual"/>
    <s v="No"/>
    <n v="1"/>
    <x v="0"/>
    <x v="2"/>
    <x v="13"/>
    <x v="0"/>
    <x v="1"/>
  </r>
  <r>
    <n v="13343"/>
    <x v="0"/>
    <x v="0"/>
    <n v="90000"/>
    <n v="5"/>
    <x v="0"/>
    <s v="Management"/>
    <s v="Yes"/>
    <n v="2"/>
    <x v="3"/>
    <x v="2"/>
    <x v="18"/>
    <x v="0"/>
    <x v="1"/>
  </r>
  <r>
    <n v="11303"/>
    <x v="1"/>
    <x v="0"/>
    <n v="90000"/>
    <n v="4"/>
    <x v="2"/>
    <s v="Professional"/>
    <s v="No"/>
    <n v="3"/>
    <x v="3"/>
    <x v="2"/>
    <x v="12"/>
    <x v="0"/>
    <x v="1"/>
  </r>
  <r>
    <n v="21693"/>
    <x v="1"/>
    <x v="0"/>
    <n v="60000"/>
    <n v="0"/>
    <x v="4"/>
    <s v="Skilled Manual"/>
    <s v="No"/>
    <n v="0"/>
    <x v="0"/>
    <x v="2"/>
    <x v="8"/>
    <x v="1"/>
    <x v="0"/>
  </r>
  <r>
    <n v="28056"/>
    <x v="0"/>
    <x v="1"/>
    <n v="70000"/>
    <n v="2"/>
    <x v="3"/>
    <s v="Skilled Manual"/>
    <s v="Yes"/>
    <n v="2"/>
    <x v="4"/>
    <x v="2"/>
    <x v="39"/>
    <x v="1"/>
    <x v="0"/>
  </r>
  <r>
    <n v="11788"/>
    <x v="1"/>
    <x v="0"/>
    <n v="70000"/>
    <n v="1"/>
    <x v="4"/>
    <s v="Professional"/>
    <s v="Yes"/>
    <n v="0"/>
    <x v="1"/>
    <x v="2"/>
    <x v="17"/>
    <x v="1"/>
    <x v="0"/>
  </r>
  <r>
    <n v="22296"/>
    <x v="0"/>
    <x v="1"/>
    <n v="70000"/>
    <n v="0"/>
    <x v="0"/>
    <s v="Professional"/>
    <s v="No"/>
    <n v="1"/>
    <x v="0"/>
    <x v="2"/>
    <x v="13"/>
    <x v="1"/>
    <x v="0"/>
  </r>
  <r>
    <n v="15319"/>
    <x v="0"/>
    <x v="0"/>
    <n v="70000"/>
    <n v="4"/>
    <x v="0"/>
    <s v="Management"/>
    <s v="No"/>
    <n v="1"/>
    <x v="3"/>
    <x v="2"/>
    <x v="14"/>
    <x v="0"/>
    <x v="0"/>
  </r>
  <r>
    <n v="17654"/>
    <x v="1"/>
    <x v="0"/>
    <n v="40000"/>
    <n v="3"/>
    <x v="1"/>
    <s v="Clerical"/>
    <s v="Yes"/>
    <n v="1"/>
    <x v="3"/>
    <x v="2"/>
    <x v="25"/>
    <x v="0"/>
    <x v="1"/>
  </r>
  <r>
    <n v="14662"/>
    <x v="0"/>
    <x v="1"/>
    <n v="60000"/>
    <n v="1"/>
    <x v="0"/>
    <s v="Professional"/>
    <s v="Yes"/>
    <n v="1"/>
    <x v="0"/>
    <x v="2"/>
    <x v="28"/>
    <x v="1"/>
    <x v="1"/>
  </r>
  <r>
    <n v="17541"/>
    <x v="0"/>
    <x v="0"/>
    <n v="40000"/>
    <n v="4"/>
    <x v="2"/>
    <s v="Skilled Manual"/>
    <s v="Yes"/>
    <n v="2"/>
    <x v="1"/>
    <x v="2"/>
    <x v="1"/>
    <x v="2"/>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0"/>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1"/>
    <x v="0"/>
  </r>
  <r>
    <n v="17462"/>
    <x v="0"/>
    <x v="1"/>
    <n v="70000"/>
    <n v="3"/>
    <x v="4"/>
    <s v="Management"/>
    <s v="Yes"/>
    <n v="2"/>
    <x v="2"/>
    <x v="2"/>
    <x v="39"/>
    <x v="1"/>
    <x v="1"/>
  </r>
  <r>
    <n v="20659"/>
    <x v="0"/>
    <x v="1"/>
    <n v="70000"/>
    <n v="3"/>
    <x v="4"/>
    <s v="Professional"/>
    <s v="Yes"/>
    <n v="0"/>
    <x v="0"/>
    <x v="2"/>
    <x v="11"/>
    <x v="1"/>
    <x v="1"/>
  </r>
  <r>
    <n v="28004"/>
    <x v="0"/>
    <x v="0"/>
    <n v="60000"/>
    <n v="3"/>
    <x v="0"/>
    <s v="Management"/>
    <s v="Yes"/>
    <n v="2"/>
    <x v="4"/>
    <x v="2"/>
    <x v="29"/>
    <x v="0"/>
    <x v="0"/>
  </r>
  <r>
    <n v="19741"/>
    <x v="1"/>
    <x v="0"/>
    <n v="80000"/>
    <n v="4"/>
    <x v="4"/>
    <s v="Management"/>
    <s v="Yes"/>
    <n v="2"/>
    <x v="2"/>
    <x v="2"/>
    <x v="27"/>
    <x v="2"/>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0"/>
    <x v="1"/>
  </r>
  <r>
    <n v="28972"/>
    <x v="1"/>
    <x v="0"/>
    <n v="60000"/>
    <n v="3"/>
    <x v="4"/>
    <s v="Management"/>
    <s v="Yes"/>
    <n v="2"/>
    <x v="4"/>
    <x v="2"/>
    <x v="29"/>
    <x v="3"/>
    <x v="0"/>
  </r>
  <r>
    <n v="22730"/>
    <x v="0"/>
    <x v="1"/>
    <n v="70000"/>
    <n v="5"/>
    <x v="0"/>
    <s v="Management"/>
    <s v="Yes"/>
    <n v="2"/>
    <x v="4"/>
    <x v="2"/>
    <x v="18"/>
    <x v="3"/>
    <x v="0"/>
  </r>
  <r>
    <n v="29134"/>
    <x v="0"/>
    <x v="1"/>
    <n v="60000"/>
    <n v="4"/>
    <x v="0"/>
    <s v="Skilled Manual"/>
    <s v="No"/>
    <n v="3"/>
    <x v="4"/>
    <x v="2"/>
    <x v="0"/>
    <x v="3"/>
    <x v="0"/>
  </r>
  <r>
    <n v="14332"/>
    <x v="1"/>
    <x v="0"/>
    <n v="30000"/>
    <n v="0"/>
    <x v="2"/>
    <s v="Skilled Manual"/>
    <s v="No"/>
    <n v="2"/>
    <x v="2"/>
    <x v="2"/>
    <x v="22"/>
    <x v="3"/>
    <x v="0"/>
  </r>
  <r>
    <n v="19117"/>
    <x v="1"/>
    <x v="0"/>
    <n v="60000"/>
    <n v="1"/>
    <x v="4"/>
    <s v="Professional"/>
    <s v="Yes"/>
    <n v="0"/>
    <x v="1"/>
    <x v="2"/>
    <x v="4"/>
    <x v="3"/>
    <x v="1"/>
  </r>
  <r>
    <n v="22864"/>
    <x v="0"/>
    <x v="1"/>
    <n v="90000"/>
    <n v="2"/>
    <x v="1"/>
    <s v="Professional"/>
    <s v="No"/>
    <n v="0"/>
    <x v="2"/>
    <x v="2"/>
    <x v="38"/>
    <x v="3"/>
    <x v="1"/>
  </r>
  <r>
    <n v="11292"/>
    <x v="1"/>
    <x v="1"/>
    <n v="150000"/>
    <n v="1"/>
    <x v="1"/>
    <s v="Professional"/>
    <s v="No"/>
    <n v="3"/>
    <x v="0"/>
    <x v="2"/>
    <x v="20"/>
    <x v="3"/>
    <x v="1"/>
  </r>
  <r>
    <n v="13466"/>
    <x v="0"/>
    <x v="1"/>
    <n v="80000"/>
    <n v="5"/>
    <x v="1"/>
    <s v="Professional"/>
    <s v="Yes"/>
    <n v="3"/>
    <x v="3"/>
    <x v="2"/>
    <x v="30"/>
    <x v="3"/>
    <x v="0"/>
  </r>
  <r>
    <n v="23731"/>
    <x v="0"/>
    <x v="1"/>
    <n v="60000"/>
    <n v="2"/>
    <x v="2"/>
    <s v="Professional"/>
    <s v="Yes"/>
    <n v="2"/>
    <x v="1"/>
    <x v="2"/>
    <x v="9"/>
    <x v="3"/>
    <x v="1"/>
  </r>
  <r>
    <n v="28672"/>
    <x v="1"/>
    <x v="1"/>
    <n v="70000"/>
    <n v="4"/>
    <x v="4"/>
    <s v="Professional"/>
    <s v="Yes"/>
    <n v="0"/>
    <x v="1"/>
    <x v="2"/>
    <x v="11"/>
    <x v="3"/>
    <x v="1"/>
  </r>
  <r>
    <n v="11809"/>
    <x v="0"/>
    <x v="1"/>
    <n v="60000"/>
    <n v="2"/>
    <x v="0"/>
    <s v="Skilled Manual"/>
    <s v="Yes"/>
    <n v="0"/>
    <x v="0"/>
    <x v="2"/>
    <x v="13"/>
    <x v="3"/>
    <x v="1"/>
  </r>
  <r>
    <n v="19664"/>
    <x v="1"/>
    <x v="1"/>
    <n v="100000"/>
    <n v="3"/>
    <x v="0"/>
    <s v="Management"/>
    <s v="No"/>
    <n v="3"/>
    <x v="3"/>
    <x v="2"/>
    <x v="13"/>
    <x v="3"/>
    <x v="0"/>
  </r>
  <r>
    <n v="12121"/>
    <x v="1"/>
    <x v="1"/>
    <n v="60000"/>
    <n v="3"/>
    <x v="2"/>
    <s v="Professional"/>
    <s v="Yes"/>
    <n v="2"/>
    <x v="4"/>
    <x v="2"/>
    <x v="39"/>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53E70D-4857-43B3-8296-04B21CF5B8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63:G84" firstHeaderRow="1" firstDataRow="3"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axis="axisRow" dataFiel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2"/>
        <item x="3"/>
        <item x="0"/>
        <item x="1"/>
        <item t="default"/>
      </items>
    </pivotField>
    <pivotField axis="axisCol" dataField="1" showAll="0">
      <items count="3">
        <item x="0"/>
        <item x="1"/>
        <item t="default"/>
      </items>
    </pivotField>
  </pivotFields>
  <rowFields count="1">
    <field x="11"/>
  </rowFields>
  <rowItems count="19">
    <i>
      <x v="1"/>
    </i>
    <i>
      <x v="2"/>
    </i>
    <i>
      <x v="4"/>
    </i>
    <i>
      <x v="5"/>
    </i>
    <i>
      <x v="7"/>
    </i>
    <i>
      <x v="11"/>
    </i>
    <i>
      <x v="12"/>
    </i>
    <i>
      <x v="13"/>
    </i>
    <i>
      <x v="15"/>
    </i>
    <i>
      <x v="16"/>
    </i>
    <i>
      <x v="18"/>
    </i>
    <i>
      <x v="21"/>
    </i>
    <i>
      <x v="22"/>
    </i>
    <i>
      <x v="23"/>
    </i>
    <i>
      <x v="27"/>
    </i>
    <i>
      <x v="40"/>
    </i>
    <i>
      <x v="41"/>
    </i>
    <i>
      <x v="42"/>
    </i>
    <i t="grand">
      <x/>
    </i>
  </rowItems>
  <colFields count="2">
    <field x="13"/>
    <field x="-2"/>
  </colFields>
  <colItems count="6">
    <i>
      <x/>
      <x/>
    </i>
    <i r="1" i="1">
      <x v="1"/>
    </i>
    <i>
      <x v="1"/>
      <x/>
    </i>
    <i r="1" i="1">
      <x v="1"/>
    </i>
    <i t="grand">
      <x/>
    </i>
    <i t="grand" i="1">
      <x/>
    </i>
  </colItems>
  <dataFields count="2">
    <dataField name="Count of Purchased Bike" fld="13" subtotal="count" baseField="0" baseItem="0"/>
    <dataField name="Sum of Age" fld="11" baseField="0" baseItem="0"/>
  </dataFields>
  <chartFormats count="1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1"/>
          </reference>
          <reference field="13" count="1" selected="0">
            <x v="0"/>
          </reference>
        </references>
      </pivotArea>
    </chartFormat>
    <chartFormat chart="15" format="2" series="1">
      <pivotArea type="data" outline="0" fieldPosition="0">
        <references count="2">
          <reference field="4294967294" count="1" selected="0">
            <x v="0"/>
          </reference>
          <reference field="13" count="1" selected="0">
            <x v="1"/>
          </reference>
        </references>
      </pivotArea>
    </chartFormat>
    <chartFormat chart="15" format="3" series="1">
      <pivotArea type="data" outline="0" fieldPosition="0">
        <references count="2">
          <reference field="4294967294" count="1" selected="0">
            <x v="1"/>
          </reference>
          <reference field="13" count="1" selected="0">
            <x v="1"/>
          </reference>
        </references>
      </pivotArea>
    </chartFormat>
    <chartFormat chart="22" format="4" series="1">
      <pivotArea type="data" outline="0" fieldPosition="0">
        <references count="2">
          <reference field="4294967294" count="1" selected="0">
            <x v="0"/>
          </reference>
          <reference field="13" count="1" selected="0">
            <x v="0"/>
          </reference>
        </references>
      </pivotArea>
    </chartFormat>
    <chartFormat chart="22" format="5" series="1">
      <pivotArea type="data" outline="0" fieldPosition="0">
        <references count="2">
          <reference field="4294967294" count="1" selected="0">
            <x v="1"/>
          </reference>
          <reference field="13" count="1" selected="0">
            <x v="0"/>
          </reference>
        </references>
      </pivotArea>
    </chartFormat>
    <chartFormat chart="22" format="6" series="1">
      <pivotArea type="data" outline="0" fieldPosition="0">
        <references count="2">
          <reference field="4294967294" count="1" selected="0">
            <x v="0"/>
          </reference>
          <reference field="13" count="1" selected="0">
            <x v="1"/>
          </reference>
        </references>
      </pivotArea>
    </chartFormat>
    <chartFormat chart="22" format="7" series="1">
      <pivotArea type="data" outline="0" fieldPosition="0">
        <references count="2">
          <reference field="4294967294" count="1" selected="0">
            <x v="1"/>
          </reference>
          <reference field="13" count="1" selected="0">
            <x v="1"/>
          </reference>
        </references>
      </pivotArea>
    </chartFormat>
    <chartFormat chart="23" format="8" series="1">
      <pivotArea type="data" outline="0" fieldPosition="0">
        <references count="2">
          <reference field="4294967294" count="1" selected="0">
            <x v="0"/>
          </reference>
          <reference field="13" count="1" selected="0">
            <x v="0"/>
          </reference>
        </references>
      </pivotArea>
    </chartFormat>
    <chartFormat chart="23" format="9" series="1">
      <pivotArea type="data" outline="0" fieldPosition="0">
        <references count="2">
          <reference field="4294967294" count="1" selected="0">
            <x v="1"/>
          </reference>
          <reference field="13" count="1" selected="0">
            <x v="0"/>
          </reference>
        </references>
      </pivotArea>
    </chartFormat>
    <chartFormat chart="23" format="10" series="1">
      <pivotArea type="data" outline="0" fieldPosition="0">
        <references count="2">
          <reference field="4294967294" count="1" selected="0">
            <x v="0"/>
          </reference>
          <reference field="13" count="1" selected="0">
            <x v="1"/>
          </reference>
        </references>
      </pivotArea>
    </chartFormat>
    <chartFormat chart="23" format="11" series="1">
      <pivotArea type="data" outline="0" fieldPosition="0">
        <references count="2">
          <reference field="4294967294" count="1" selected="0">
            <x v="1"/>
          </reference>
          <reference field="13" count="1" selected="0">
            <x v="1"/>
          </reference>
        </references>
      </pivotArea>
    </chartFormat>
    <chartFormat chart="25" format="8" series="1">
      <pivotArea type="data" outline="0" fieldPosition="0">
        <references count="2">
          <reference field="4294967294" count="1" selected="0">
            <x v="0"/>
          </reference>
          <reference field="13" count="1" selected="0">
            <x v="0"/>
          </reference>
        </references>
      </pivotArea>
    </chartFormat>
    <chartFormat chart="25" format="9" series="1">
      <pivotArea type="data" outline="0" fieldPosition="0">
        <references count="2">
          <reference field="4294967294" count="1" selected="0">
            <x v="1"/>
          </reference>
          <reference field="13" count="1" selected="0">
            <x v="0"/>
          </reference>
        </references>
      </pivotArea>
    </chartFormat>
    <chartFormat chart="25" format="10" series="1">
      <pivotArea type="data" outline="0" fieldPosition="0">
        <references count="2">
          <reference field="4294967294" count="1" selected="0">
            <x v="0"/>
          </reference>
          <reference field="13" count="1" selected="0">
            <x v="1"/>
          </reference>
        </references>
      </pivotArea>
    </chartFormat>
    <chartFormat chart="25" format="11" series="1">
      <pivotArea type="data" outline="0" fieldPosition="0">
        <references count="2">
          <reference field="4294967294"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DDB11E-2537-4E46-8E8D-7ED2BA84B7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5:D50"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5">
        <item x="2"/>
        <item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2">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F5CB9D-CB24-4FB9-A142-BAEE4B8375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3:D30"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sortType="ascending">
      <items count="6">
        <item x="0"/>
        <item x="4"/>
        <item x="3"/>
        <item x="1"/>
        <item x="2"/>
        <item t="default"/>
      </items>
    </pivotField>
    <pivotField showAll="0">
      <items count="4">
        <item h="1" x="0"/>
        <item h="1" x="2"/>
        <item x="1"/>
        <item t="default"/>
      </items>
    </pivotField>
    <pivotField showAll="0"/>
    <pivotField showAll="0"/>
    <pivotField axis="axisCol" dataField="1" showAll="0" sortType="ascending">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57FE2F-F605-4607-963E-75FF42621D0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sortType="ascending">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FD7F25B-386C-4049-8395-36E3C3484A6D}" sourceName="Marital Status">
  <pivotTables>
    <pivotTable tabId="4" name="PivotTable2"/>
    <pivotTable tabId="4" name="PivotTable3"/>
    <pivotTable tabId="4" name="PivotTable4"/>
    <pivotTable tabId="4" name="PivotTable6"/>
  </pivotTables>
  <data>
    <tabular pivotCacheId="119930877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98A2551-140D-4683-86EB-75D777E101AC}" sourceName="Education">
  <pivotTables>
    <pivotTable tabId="4" name="PivotTable2"/>
    <pivotTable tabId="4" name="PivotTable3"/>
    <pivotTable tabId="4" name="PivotTable4"/>
    <pivotTable tabId="4" name="PivotTable6"/>
  </pivotTables>
  <data>
    <tabular pivotCacheId="1199308776">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D0AAEE-DCC7-4E93-B060-F20763306EEA}" sourceName="Region">
  <pivotTables>
    <pivotTable tabId="4" name="PivotTable2"/>
    <pivotTable tabId="4" name="PivotTable3"/>
    <pivotTable tabId="4" name="PivotTable4"/>
    <pivotTable tabId="4" name="PivotTable6"/>
  </pivotTables>
  <data>
    <tabular pivotCacheId="1199308776">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1B96616-D09E-4321-AB78-89547DF6CE12}" cache="Slicer_Marital_Status" caption="Marital Status" rowHeight="234950"/>
  <slicer name="Education" xr10:uid="{C5268836-416A-4B50-9251-1D4B956C8B29}" cache="Slicer_Education" caption="Education" rowHeight="234950"/>
  <slicer name="Region" xr10:uid="{EC9C4011-71C1-4346-AC1D-8C0E8B7B8A47}"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58" workbookViewId="0">
      <selection activeCell="F46" sqref="F4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6C846-EBB3-4D86-9710-98F3B0B55A35}">
  <dimension ref="A1:N1001"/>
  <sheetViews>
    <sheetView tabSelected="1" workbookViewId="0"/>
  </sheetViews>
  <sheetFormatPr defaultColWidth="14.5546875" defaultRowHeight="14.4" x14ac:dyDescent="0.3"/>
  <cols>
    <col min="2" max="2" width="18.6640625" customWidth="1"/>
    <col min="4" max="4" width="14.5546875" style="3"/>
    <col min="13" max="13" width="21.332031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s="11" t="s">
        <v>15</v>
      </c>
      <c r="I2">
        <v>0</v>
      </c>
      <c r="J2" t="s">
        <v>16</v>
      </c>
      <c r="K2" t="s">
        <v>17</v>
      </c>
      <c r="L2">
        <v>42</v>
      </c>
      <c r="M2" t="str">
        <f>IF(OR(L15="",NOT(ISNUMBER(L15))),"Invalid",IF(L15&gt;54,"Old",IF(L15&gt;=31,"Middle Age","Adolescent")))</f>
        <v>Middle Age</v>
      </c>
      <c r="N2" t="s">
        <v>18</v>
      </c>
    </row>
    <row r="3" spans="1:14" x14ac:dyDescent="0.3">
      <c r="A3">
        <v>24107</v>
      </c>
      <c r="B3" t="s">
        <v>36</v>
      </c>
      <c r="C3" t="s">
        <v>38</v>
      </c>
      <c r="D3" s="3">
        <v>30000</v>
      </c>
      <c r="E3">
        <v>3</v>
      </c>
      <c r="F3" t="s">
        <v>19</v>
      </c>
      <c r="G3" t="s">
        <v>20</v>
      </c>
      <c r="H3" t="s">
        <v>15</v>
      </c>
      <c r="I3">
        <v>1</v>
      </c>
      <c r="J3" t="s">
        <v>16</v>
      </c>
      <c r="K3" t="s">
        <v>17</v>
      </c>
      <c r="L3">
        <v>43</v>
      </c>
      <c r="M3" t="str">
        <f>IF(OR(L16="",NOT(ISNUMBER(L16))),"Invalid",IF(L16&gt;54,"Old",IF(L16&gt;=31,"Middle Age","Adolescent")))</f>
        <v>Middle Age</v>
      </c>
      <c r="N3" t="s">
        <v>18</v>
      </c>
    </row>
    <row r="4" spans="1:14" x14ac:dyDescent="0.3">
      <c r="A4">
        <v>14177</v>
      </c>
      <c r="B4" t="s">
        <v>36</v>
      </c>
      <c r="C4" t="s">
        <v>38</v>
      </c>
      <c r="D4" s="3">
        <v>80000</v>
      </c>
      <c r="E4">
        <v>5</v>
      </c>
      <c r="F4" t="s">
        <v>19</v>
      </c>
      <c r="G4" t="s">
        <v>21</v>
      </c>
      <c r="H4" t="s">
        <v>18</v>
      </c>
      <c r="I4">
        <v>2</v>
      </c>
      <c r="J4" t="s">
        <v>22</v>
      </c>
      <c r="K4" t="s">
        <v>17</v>
      </c>
      <c r="L4">
        <v>60</v>
      </c>
      <c r="M4" t="str">
        <f t="shared" ref="M4:M67" si="0">IF(OR(L17="",NOT(ISNUMBER(L17))),"Invalid",IF(L17&gt;54,"Old",IF(L17&gt;=31,"Middle Age","Adolescent")))</f>
        <v>Middle Age</v>
      </c>
      <c r="N4" t="s">
        <v>18</v>
      </c>
    </row>
    <row r="5" spans="1:14" x14ac:dyDescent="0.3">
      <c r="A5">
        <v>24381</v>
      </c>
      <c r="B5" t="s">
        <v>37</v>
      </c>
      <c r="C5" t="s">
        <v>38</v>
      </c>
      <c r="D5" s="3">
        <v>70000</v>
      </c>
      <c r="E5">
        <v>0</v>
      </c>
      <c r="F5" t="s">
        <v>13</v>
      </c>
      <c r="G5" t="s">
        <v>21</v>
      </c>
      <c r="H5" t="s">
        <v>15</v>
      </c>
      <c r="I5">
        <v>1</v>
      </c>
      <c r="J5" t="s">
        <v>23</v>
      </c>
      <c r="K5" t="s">
        <v>24</v>
      </c>
      <c r="L5">
        <v>41</v>
      </c>
      <c r="M5" t="str">
        <f t="shared" si="0"/>
        <v>Old</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Old</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Middle Age</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Old</v>
      </c>
      <c r="N12" t="s">
        <v>15</v>
      </c>
    </row>
    <row r="13" spans="1:14" x14ac:dyDescent="0.3">
      <c r="A13">
        <v>12697</v>
      </c>
      <c r="B13" t="s">
        <v>37</v>
      </c>
      <c r="C13" t="s">
        <v>39</v>
      </c>
      <c r="D13" s="3">
        <v>90000</v>
      </c>
      <c r="E13">
        <v>0</v>
      </c>
      <c r="F13" t="s">
        <v>13</v>
      </c>
      <c r="G13" t="s">
        <v>21</v>
      </c>
      <c r="H13" t="s">
        <v>18</v>
      </c>
      <c r="I13">
        <v>4</v>
      </c>
      <c r="J13" t="s">
        <v>30</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Adolescent</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Middle Age</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Old</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Adolescent</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30</v>
      </c>
      <c r="K23" t="s">
        <v>24</v>
      </c>
      <c r="L23">
        <v>35</v>
      </c>
      <c r="M23" t="str">
        <f t="shared" si="0"/>
        <v>Old</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Middle Age</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Adolescent</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Adolescent</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Middle Age</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Old</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Middle Age</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Middle Age</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Old</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Middle Age</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Middle Age</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Old</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Old</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Middle Age</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Old</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Middle Age</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Middle Age</v>
      </c>
      <c r="N52" t="s">
        <v>18</v>
      </c>
    </row>
    <row r="53" spans="1:14" x14ac:dyDescent="0.3">
      <c r="A53">
        <v>20619</v>
      </c>
      <c r="B53" t="s">
        <v>37</v>
      </c>
      <c r="C53" t="s">
        <v>38</v>
      </c>
      <c r="D53" s="3">
        <v>80000</v>
      </c>
      <c r="E53">
        <v>0</v>
      </c>
      <c r="F53" t="s">
        <v>13</v>
      </c>
      <c r="G53" t="s">
        <v>21</v>
      </c>
      <c r="H53" t="s">
        <v>18</v>
      </c>
      <c r="I53">
        <v>4</v>
      </c>
      <c r="J53" t="s">
        <v>30</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Middle Age</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30</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Adolescent</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Middle Age</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Old</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30</v>
      </c>
      <c r="K65" t="s">
        <v>24</v>
      </c>
      <c r="L65">
        <v>41</v>
      </c>
      <c r="M65" t="str">
        <f t="shared" si="0"/>
        <v>Adolescent</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Adolescent</v>
      </c>
      <c r="N66" t="s">
        <v>15</v>
      </c>
    </row>
    <row r="67" spans="1:14" x14ac:dyDescent="0.3">
      <c r="A67">
        <v>29337</v>
      </c>
      <c r="B67" t="s">
        <v>37</v>
      </c>
      <c r="C67" t="s">
        <v>38</v>
      </c>
      <c r="D67" s="3">
        <v>30000</v>
      </c>
      <c r="E67">
        <v>2</v>
      </c>
      <c r="F67" t="s">
        <v>19</v>
      </c>
      <c r="G67" t="s">
        <v>20</v>
      </c>
      <c r="H67" t="s">
        <v>15</v>
      </c>
      <c r="I67">
        <v>2</v>
      </c>
      <c r="J67" t="s">
        <v>23</v>
      </c>
      <c r="K67" t="s">
        <v>24</v>
      </c>
      <c r="L67">
        <v>68</v>
      </c>
      <c r="M67" t="str">
        <f t="shared" si="0"/>
        <v>Middle Age</v>
      </c>
      <c r="N67" t="s">
        <v>18</v>
      </c>
    </row>
    <row r="68" spans="1:14" x14ac:dyDescent="0.3">
      <c r="A68">
        <v>29355</v>
      </c>
      <c r="B68" t="s">
        <v>36</v>
      </c>
      <c r="C68" t="s">
        <v>39</v>
      </c>
      <c r="D68" s="3">
        <v>40000</v>
      </c>
      <c r="E68">
        <v>0</v>
      </c>
      <c r="F68" t="s">
        <v>31</v>
      </c>
      <c r="G68" t="s">
        <v>20</v>
      </c>
      <c r="H68" t="s">
        <v>15</v>
      </c>
      <c r="I68">
        <v>0</v>
      </c>
      <c r="J68" t="s">
        <v>16</v>
      </c>
      <c r="K68" t="s">
        <v>17</v>
      </c>
      <c r="L68">
        <v>37</v>
      </c>
      <c r="M68" t="str">
        <f t="shared" ref="M68:M131" si="1">IF(OR(L81="",NOT(ISNUMBER(L81))),"Invalid",IF(L81&gt;54,"Old",IF(L81&gt;=31,"Middle Age","Adolescent")))</f>
        <v>Old</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Middle Age</v>
      </c>
      <c r="N71" t="s">
        <v>18</v>
      </c>
    </row>
    <row r="72" spans="1:14" x14ac:dyDescent="0.3">
      <c r="A72">
        <v>14238</v>
      </c>
      <c r="B72" t="s">
        <v>36</v>
      </c>
      <c r="C72" t="s">
        <v>38</v>
      </c>
      <c r="D72" s="3">
        <v>120000</v>
      </c>
      <c r="E72">
        <v>0</v>
      </c>
      <c r="F72" t="s">
        <v>29</v>
      </c>
      <c r="G72" t="s">
        <v>21</v>
      </c>
      <c r="H72" t="s">
        <v>15</v>
      </c>
      <c r="I72">
        <v>4</v>
      </c>
      <c r="J72" t="s">
        <v>30</v>
      </c>
      <c r="K72" t="s">
        <v>24</v>
      </c>
      <c r="L72">
        <v>36</v>
      </c>
      <c r="M72" t="str">
        <f t="shared" si="1"/>
        <v>Adolescent</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Adolescent</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Middle Age</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Adolescent</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Middle Age</v>
      </c>
      <c r="N78" t="s">
        <v>18</v>
      </c>
    </row>
    <row r="79" spans="1:14" x14ac:dyDescent="0.3">
      <c r="A79">
        <v>27969</v>
      </c>
      <c r="B79" t="s">
        <v>36</v>
      </c>
      <c r="C79" t="s">
        <v>38</v>
      </c>
      <c r="D79" s="3">
        <v>80000</v>
      </c>
      <c r="E79">
        <v>0</v>
      </c>
      <c r="F79" t="s">
        <v>13</v>
      </c>
      <c r="G79" t="s">
        <v>21</v>
      </c>
      <c r="H79" t="s">
        <v>15</v>
      </c>
      <c r="I79">
        <v>2</v>
      </c>
      <c r="J79" t="s">
        <v>30</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Adolescent</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Middle Age</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Old</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Old</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Middle Age</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Middle Age</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Middle Age</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Middle Age</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Adolescent</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39</v>
      </c>
      <c r="D97" s="3">
        <v>90000</v>
      </c>
      <c r="E97">
        <v>5</v>
      </c>
      <c r="F97" t="s">
        <v>19</v>
      </c>
      <c r="G97" t="s">
        <v>21</v>
      </c>
      <c r="H97" t="s">
        <v>15</v>
      </c>
      <c r="I97">
        <v>2</v>
      </c>
      <c r="J97" t="s">
        <v>30</v>
      </c>
      <c r="K97" t="s">
        <v>17</v>
      </c>
      <c r="L97">
        <v>62</v>
      </c>
      <c r="M97" t="str">
        <f t="shared" si="1"/>
        <v>Middle Age</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Middle Age</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Adolescent</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Adolescent</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Old</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Adolescent</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Old</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Old</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Middle Age</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Middle Age</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Middle Age</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30</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Middle Age</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Old</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Old</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Adolescent</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si="1"/>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ref="M132:M195" si="2">IF(OR(L145="",NOT(ISNUMBER(L145))),"Invalid",IF(L145&gt;54,"Old",IF(L145&gt;=31,"Middle Age","Adolescent")))</f>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Middle Age</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Middle Age</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Old</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Adolescent</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Middle Age</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Middle Age</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30</v>
      </c>
      <c r="K145" t="s">
        <v>24</v>
      </c>
      <c r="L145">
        <v>32</v>
      </c>
      <c r="M145" t="str">
        <f t="shared" si="2"/>
        <v>Old</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Middle Age</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Middle Age</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Adolescent</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Adolescent</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Middle Age</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Old</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Adolescent</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Adolescent</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Middle Age</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Old</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30</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Old</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Old</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Old</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Middle Age</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Old</v>
      </c>
      <c r="N179" t="s">
        <v>18</v>
      </c>
    </row>
    <row r="180" spans="1:14" x14ac:dyDescent="0.3">
      <c r="A180">
        <v>14191</v>
      </c>
      <c r="B180" t="s">
        <v>36</v>
      </c>
      <c r="C180" t="s">
        <v>38</v>
      </c>
      <c r="D180" s="3">
        <v>160000</v>
      </c>
      <c r="E180">
        <v>4</v>
      </c>
      <c r="F180" t="s">
        <v>19</v>
      </c>
      <c r="G180" t="s">
        <v>21</v>
      </c>
      <c r="H180" t="s">
        <v>18</v>
      </c>
      <c r="I180">
        <v>2</v>
      </c>
      <c r="J180" t="s">
        <v>30</v>
      </c>
      <c r="K180" t="s">
        <v>17</v>
      </c>
      <c r="L180">
        <v>55</v>
      </c>
      <c r="M180" t="str">
        <f t="shared" si="2"/>
        <v>Middle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Old</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Adolescent</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Middle Age</v>
      </c>
      <c r="N185" t="s">
        <v>15</v>
      </c>
    </row>
    <row r="186" spans="1:14" x14ac:dyDescent="0.3">
      <c r="A186">
        <v>28918</v>
      </c>
      <c r="B186" t="s">
        <v>36</v>
      </c>
      <c r="C186" t="s">
        <v>39</v>
      </c>
      <c r="D186" s="3">
        <v>130000</v>
      </c>
      <c r="E186">
        <v>4</v>
      </c>
      <c r="F186" t="s">
        <v>27</v>
      </c>
      <c r="G186" t="s">
        <v>28</v>
      </c>
      <c r="H186" t="s">
        <v>18</v>
      </c>
      <c r="I186">
        <v>4</v>
      </c>
      <c r="J186" t="s">
        <v>30</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Middle Age</v>
      </c>
      <c r="N188" t="s">
        <v>15</v>
      </c>
    </row>
    <row r="189" spans="1:14" x14ac:dyDescent="0.3">
      <c r="A189">
        <v>18151</v>
      </c>
      <c r="B189" t="s">
        <v>37</v>
      </c>
      <c r="C189" t="s">
        <v>38</v>
      </c>
      <c r="D189" s="3">
        <v>80000</v>
      </c>
      <c r="E189">
        <v>5</v>
      </c>
      <c r="F189" t="s">
        <v>19</v>
      </c>
      <c r="G189" t="s">
        <v>21</v>
      </c>
      <c r="H189" t="s">
        <v>18</v>
      </c>
      <c r="I189">
        <v>2</v>
      </c>
      <c r="J189" t="s">
        <v>30</v>
      </c>
      <c r="K189" t="s">
        <v>17</v>
      </c>
      <c r="L189">
        <v>59</v>
      </c>
      <c r="M189" t="str">
        <f t="shared" si="2"/>
        <v>Middle Age</v>
      </c>
      <c r="N189" t="s">
        <v>18</v>
      </c>
    </row>
    <row r="190" spans="1:14" x14ac:dyDescent="0.3">
      <c r="A190">
        <v>20606</v>
      </c>
      <c r="B190" t="s">
        <v>36</v>
      </c>
      <c r="C190" t="s">
        <v>39</v>
      </c>
      <c r="D190" s="3">
        <v>70000</v>
      </c>
      <c r="E190">
        <v>0</v>
      </c>
      <c r="F190" t="s">
        <v>13</v>
      </c>
      <c r="G190" t="s">
        <v>21</v>
      </c>
      <c r="H190" t="s">
        <v>15</v>
      </c>
      <c r="I190">
        <v>4</v>
      </c>
      <c r="J190" t="s">
        <v>30</v>
      </c>
      <c r="K190" t="s">
        <v>24</v>
      </c>
      <c r="L190">
        <v>32</v>
      </c>
      <c r="M190" t="str">
        <f t="shared" si="2"/>
        <v>Adolescent</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30</v>
      </c>
      <c r="K194" t="s">
        <v>17</v>
      </c>
      <c r="L194">
        <v>62</v>
      </c>
      <c r="M194" t="str">
        <f t="shared" si="2"/>
        <v>Middle Age</v>
      </c>
      <c r="N194" t="s">
        <v>18</v>
      </c>
    </row>
    <row r="195" spans="1:14" x14ac:dyDescent="0.3">
      <c r="A195">
        <v>26032</v>
      </c>
      <c r="B195" t="s">
        <v>36</v>
      </c>
      <c r="C195" t="s">
        <v>39</v>
      </c>
      <c r="D195" s="3">
        <v>70000</v>
      </c>
      <c r="E195">
        <v>5</v>
      </c>
      <c r="F195" t="s">
        <v>13</v>
      </c>
      <c r="G195" t="s">
        <v>21</v>
      </c>
      <c r="H195" t="s">
        <v>15</v>
      </c>
      <c r="I195">
        <v>4</v>
      </c>
      <c r="J195" t="s">
        <v>30</v>
      </c>
      <c r="K195" t="s">
        <v>24</v>
      </c>
      <c r="L195">
        <v>41</v>
      </c>
      <c r="M195" t="str">
        <f t="shared" si="2"/>
        <v>Old</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ref="M196:M259" si="3">IF(OR(L209="",NOT(ISNUMBER(L209))),"Invalid",IF(L209&gt;54,"Old",IF(L209&gt;=31,"Middle Age","Adolescent")))</f>
        <v>Adolescent</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Middle Age</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Middle Age</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30</v>
      </c>
      <c r="K201" t="s">
        <v>24</v>
      </c>
      <c r="L201">
        <v>33</v>
      </c>
      <c r="M201" t="str">
        <f t="shared" si="3"/>
        <v>Adolescent</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Old</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Adolescent</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30</v>
      </c>
      <c r="K208" t="s">
        <v>17</v>
      </c>
      <c r="L208">
        <v>62</v>
      </c>
      <c r="M208" t="str">
        <f t="shared" si="3"/>
        <v>Adolescent</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Middle Age</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Old</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Middle Age</v>
      </c>
      <c r="N214" t="s">
        <v>18</v>
      </c>
    </row>
    <row r="215" spans="1:14" x14ac:dyDescent="0.3">
      <c r="A215">
        <v>11451</v>
      </c>
      <c r="B215" t="s">
        <v>37</v>
      </c>
      <c r="C215" t="s">
        <v>38</v>
      </c>
      <c r="D215" s="3">
        <v>70000</v>
      </c>
      <c r="E215">
        <v>0</v>
      </c>
      <c r="F215" t="s">
        <v>13</v>
      </c>
      <c r="G215" t="s">
        <v>21</v>
      </c>
      <c r="H215" t="s">
        <v>18</v>
      </c>
      <c r="I215">
        <v>4</v>
      </c>
      <c r="J215" t="s">
        <v>30</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Middle Age</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Old</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Middle Age</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Adolescent</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Old</v>
      </c>
      <c r="N224" t="s">
        <v>18</v>
      </c>
    </row>
    <row r="225" spans="1:14" x14ac:dyDescent="0.3">
      <c r="A225">
        <v>18711</v>
      </c>
      <c r="B225" t="s">
        <v>37</v>
      </c>
      <c r="C225" t="s">
        <v>39</v>
      </c>
      <c r="D225" s="3">
        <v>70000</v>
      </c>
      <c r="E225">
        <v>5</v>
      </c>
      <c r="F225" t="s">
        <v>13</v>
      </c>
      <c r="G225" t="s">
        <v>21</v>
      </c>
      <c r="H225" t="s">
        <v>15</v>
      </c>
      <c r="I225">
        <v>4</v>
      </c>
      <c r="J225" t="s">
        <v>30</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Adolescent</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Adolescent</v>
      </c>
      <c r="N230" t="s">
        <v>18</v>
      </c>
    </row>
    <row r="231" spans="1:14" x14ac:dyDescent="0.3">
      <c r="A231">
        <v>28915</v>
      </c>
      <c r="B231" t="s">
        <v>37</v>
      </c>
      <c r="C231" t="s">
        <v>38</v>
      </c>
      <c r="D231" s="3">
        <v>80000</v>
      </c>
      <c r="E231">
        <v>5</v>
      </c>
      <c r="F231" t="s">
        <v>27</v>
      </c>
      <c r="G231" t="s">
        <v>28</v>
      </c>
      <c r="H231" t="s">
        <v>15</v>
      </c>
      <c r="I231">
        <v>3</v>
      </c>
      <c r="J231" t="s">
        <v>30</v>
      </c>
      <c r="K231" t="s">
        <v>17</v>
      </c>
      <c r="L231">
        <v>57</v>
      </c>
      <c r="M231" t="str">
        <f t="shared" si="3"/>
        <v>Middle Age</v>
      </c>
      <c r="N231" t="s">
        <v>18</v>
      </c>
    </row>
    <row r="232" spans="1:14" x14ac:dyDescent="0.3">
      <c r="A232">
        <v>22830</v>
      </c>
      <c r="B232" t="s">
        <v>36</v>
      </c>
      <c r="C232" t="s">
        <v>38</v>
      </c>
      <c r="D232" s="3">
        <v>120000</v>
      </c>
      <c r="E232">
        <v>4</v>
      </c>
      <c r="F232" t="s">
        <v>19</v>
      </c>
      <c r="G232" t="s">
        <v>28</v>
      </c>
      <c r="H232" t="s">
        <v>15</v>
      </c>
      <c r="I232">
        <v>3</v>
      </c>
      <c r="J232" t="s">
        <v>30</v>
      </c>
      <c r="K232" t="s">
        <v>17</v>
      </c>
      <c r="L232">
        <v>56</v>
      </c>
      <c r="M232" t="str">
        <f t="shared" si="3"/>
        <v>Adolescent</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Middle Age</v>
      </c>
      <c r="N235" t="s">
        <v>15</v>
      </c>
    </row>
    <row r="236" spans="1:14" x14ac:dyDescent="0.3">
      <c r="A236">
        <v>24611</v>
      </c>
      <c r="B236" t="s">
        <v>37</v>
      </c>
      <c r="C236" t="s">
        <v>38</v>
      </c>
      <c r="D236" s="3">
        <v>90000</v>
      </c>
      <c r="E236">
        <v>0</v>
      </c>
      <c r="F236" t="s">
        <v>13</v>
      </c>
      <c r="G236" t="s">
        <v>21</v>
      </c>
      <c r="H236" t="s">
        <v>18</v>
      </c>
      <c r="I236">
        <v>4</v>
      </c>
      <c r="J236" t="s">
        <v>30</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Old</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Old</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Old</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Old</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Middle Age</v>
      </c>
      <c r="N245" t="s">
        <v>18</v>
      </c>
    </row>
    <row r="246" spans="1:14" x14ac:dyDescent="0.3">
      <c r="A246">
        <v>19057</v>
      </c>
      <c r="B246" t="s">
        <v>36</v>
      </c>
      <c r="C246" t="s">
        <v>39</v>
      </c>
      <c r="D246" s="3">
        <v>120000</v>
      </c>
      <c r="E246">
        <v>3</v>
      </c>
      <c r="F246" t="s">
        <v>13</v>
      </c>
      <c r="G246" t="s">
        <v>28</v>
      </c>
      <c r="H246" t="s">
        <v>18</v>
      </c>
      <c r="I246">
        <v>2</v>
      </c>
      <c r="J246" t="s">
        <v>30</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Old</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30</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Middle Age</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Middle Age</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30</v>
      </c>
      <c r="K255" t="s">
        <v>17</v>
      </c>
      <c r="L255">
        <v>59</v>
      </c>
      <c r="M255" t="str">
        <f t="shared" si="3"/>
        <v>Adolescent</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Middle Age</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si="3"/>
        <v>Middle Age</v>
      </c>
      <c r="N259" t="s">
        <v>15</v>
      </c>
    </row>
    <row r="260" spans="1:14" x14ac:dyDescent="0.3">
      <c r="A260">
        <v>14193</v>
      </c>
      <c r="B260" t="s">
        <v>37</v>
      </c>
      <c r="C260" t="s">
        <v>39</v>
      </c>
      <c r="D260" s="3">
        <v>100000</v>
      </c>
      <c r="E260">
        <v>3</v>
      </c>
      <c r="F260" t="s">
        <v>19</v>
      </c>
      <c r="G260" t="s">
        <v>28</v>
      </c>
      <c r="H260" t="s">
        <v>15</v>
      </c>
      <c r="I260">
        <v>4</v>
      </c>
      <c r="J260" t="s">
        <v>30</v>
      </c>
      <c r="K260" t="s">
        <v>17</v>
      </c>
      <c r="L260">
        <v>56</v>
      </c>
      <c r="M260" t="str">
        <f t="shared" ref="M260:M323" si="4">IF(OR(L273="",NOT(ISNUMBER(L273))),"Invalid",IF(L273&gt;54,"Old",IF(L273&gt;=31,"Middle Age","Adolescent")))</f>
        <v>Adolescent</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Adolescent</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30</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Middle Age</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Middle Age</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Middle Age</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30</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Old</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Old</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Adolescent</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Old</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Old</v>
      </c>
      <c r="N296" t="s">
        <v>15</v>
      </c>
    </row>
    <row r="297" spans="1:14" x14ac:dyDescent="0.3">
      <c r="A297">
        <v>21557</v>
      </c>
      <c r="B297" t="s">
        <v>37</v>
      </c>
      <c r="C297" t="s">
        <v>39</v>
      </c>
      <c r="D297" s="3">
        <v>110000</v>
      </c>
      <c r="E297">
        <v>0</v>
      </c>
      <c r="F297" t="s">
        <v>19</v>
      </c>
      <c r="G297" t="s">
        <v>28</v>
      </c>
      <c r="H297" t="s">
        <v>15</v>
      </c>
      <c r="I297">
        <v>3</v>
      </c>
      <c r="J297" t="s">
        <v>30</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Middle Age</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Middle Age</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Middle Age</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Old</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Middle Age</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Middle Age</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Middle Age</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Adolescent</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30</v>
      </c>
      <c r="K320" t="s">
        <v>17</v>
      </c>
      <c r="L320">
        <v>54</v>
      </c>
      <c r="M320" t="str">
        <f t="shared" si="4"/>
        <v>Adolescent</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si="4"/>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ref="M324:M387" si="5">IF(OR(L337="",NOT(ISNUMBER(L337))),"Invalid",IF(L337&gt;54,"Old",IF(L337&gt;=31,"Middle Age","Adolescent")))</f>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Old</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Adolescent</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30</v>
      </c>
      <c r="K331" t="s">
        <v>17</v>
      </c>
      <c r="L331">
        <v>59</v>
      </c>
      <c r="M331" t="str">
        <f t="shared" si="5"/>
        <v>Middle Age</v>
      </c>
      <c r="N331" t="s">
        <v>18</v>
      </c>
    </row>
    <row r="332" spans="1:14" x14ac:dyDescent="0.3">
      <c r="A332">
        <v>24898</v>
      </c>
      <c r="B332" t="s">
        <v>37</v>
      </c>
      <c r="C332" t="s">
        <v>39</v>
      </c>
      <c r="D332" s="3">
        <v>80000</v>
      </c>
      <c r="E332">
        <v>0</v>
      </c>
      <c r="F332" t="s">
        <v>13</v>
      </c>
      <c r="G332" t="s">
        <v>21</v>
      </c>
      <c r="H332" t="s">
        <v>15</v>
      </c>
      <c r="I332">
        <v>3</v>
      </c>
      <c r="J332" t="s">
        <v>30</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Middle Age</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Adolescent</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Adolescent</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Middle Age</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Middle Age</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Old</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Adolescent</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Adolescent</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Middle Age</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Old</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30</v>
      </c>
      <c r="K357" t="s">
        <v>24</v>
      </c>
      <c r="L357">
        <v>32</v>
      </c>
      <c r="M357" t="str">
        <f t="shared" si="5"/>
        <v>Old</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Middle Age</v>
      </c>
      <c r="N360" t="s">
        <v>15</v>
      </c>
    </row>
    <row r="361" spans="1:14" x14ac:dyDescent="0.3">
      <c r="A361">
        <v>17230</v>
      </c>
      <c r="B361" t="s">
        <v>36</v>
      </c>
      <c r="C361" t="s">
        <v>38</v>
      </c>
      <c r="D361" s="3">
        <v>80000</v>
      </c>
      <c r="E361">
        <v>0</v>
      </c>
      <c r="F361" t="s">
        <v>13</v>
      </c>
      <c r="G361" t="s">
        <v>21</v>
      </c>
      <c r="H361" t="s">
        <v>15</v>
      </c>
      <c r="I361">
        <v>3</v>
      </c>
      <c r="J361" t="s">
        <v>30</v>
      </c>
      <c r="K361" t="s">
        <v>24</v>
      </c>
      <c r="L361">
        <v>30</v>
      </c>
      <c r="M361" t="str">
        <f t="shared" si="5"/>
        <v>Middle Age</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Adolescent</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Middle Age</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Old</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Old</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Adolescent</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30</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Adolescent</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Middle Age</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Middle Age</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Middle Age</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30</v>
      </c>
      <c r="K382" t="s">
        <v>24</v>
      </c>
      <c r="L382">
        <v>30</v>
      </c>
      <c r="M382" t="str">
        <f t="shared" si="5"/>
        <v>Middle Age</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Middle Age</v>
      </c>
      <c r="N383" t="s">
        <v>18</v>
      </c>
    </row>
    <row r="384" spans="1:14" x14ac:dyDescent="0.3">
      <c r="A384">
        <v>13586</v>
      </c>
      <c r="B384" t="s">
        <v>36</v>
      </c>
      <c r="C384" t="s">
        <v>38</v>
      </c>
      <c r="D384" s="3">
        <v>80000</v>
      </c>
      <c r="E384">
        <v>4</v>
      </c>
      <c r="F384" t="s">
        <v>19</v>
      </c>
      <c r="G384" t="s">
        <v>21</v>
      </c>
      <c r="H384" t="s">
        <v>15</v>
      </c>
      <c r="I384">
        <v>2</v>
      </c>
      <c r="J384" t="s">
        <v>30</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Old</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si="5"/>
        <v>Middle Age</v>
      </c>
      <c r="N387" t="s">
        <v>18</v>
      </c>
    </row>
    <row r="388" spans="1:14" x14ac:dyDescent="0.3">
      <c r="A388">
        <v>28957</v>
      </c>
      <c r="B388" t="s">
        <v>37</v>
      </c>
      <c r="C388" t="s">
        <v>39</v>
      </c>
      <c r="D388" s="3">
        <v>120000</v>
      </c>
      <c r="E388">
        <v>0</v>
      </c>
      <c r="F388" t="s">
        <v>29</v>
      </c>
      <c r="G388" t="s">
        <v>21</v>
      </c>
      <c r="H388" t="s">
        <v>15</v>
      </c>
      <c r="I388">
        <v>4</v>
      </c>
      <c r="J388" t="s">
        <v>30</v>
      </c>
      <c r="K388" t="s">
        <v>24</v>
      </c>
      <c r="L388">
        <v>34</v>
      </c>
      <c r="M388" t="str">
        <f t="shared" ref="M388:M451" si="6">IF(OR(L401="",NOT(ISNUMBER(L401))),"Invalid",IF(L401&gt;54,"Old",IF(L401&gt;=31,"Middle Age","Adolescent")))</f>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Middle Age</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30</v>
      </c>
      <c r="K402" t="s">
        <v>17</v>
      </c>
      <c r="L402">
        <v>53</v>
      </c>
      <c r="M402" t="str">
        <f t="shared" si="6"/>
        <v>Old</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Middle Age</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Old</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Old</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Adolescent</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Adolescent</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30</v>
      </c>
      <c r="K422" t="s">
        <v>17</v>
      </c>
      <c r="L422">
        <v>59</v>
      </c>
      <c r="M422" t="str">
        <f t="shared" si="6"/>
        <v>Adolescent</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30</v>
      </c>
      <c r="K424" t="s">
        <v>24</v>
      </c>
      <c r="L424">
        <v>32</v>
      </c>
      <c r="M424" t="str">
        <f t="shared" si="6"/>
        <v>Old</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Adolescent</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Middle Age</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Middle Age</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Middle Age</v>
      </c>
      <c r="N433" t="s">
        <v>15</v>
      </c>
    </row>
    <row r="434" spans="1:14" x14ac:dyDescent="0.3">
      <c r="A434">
        <v>21891</v>
      </c>
      <c r="B434" t="s">
        <v>36</v>
      </c>
      <c r="C434" t="s">
        <v>39</v>
      </c>
      <c r="D434" s="3">
        <v>110000</v>
      </c>
      <c r="E434">
        <v>0</v>
      </c>
      <c r="F434" t="s">
        <v>27</v>
      </c>
      <c r="G434" t="s">
        <v>28</v>
      </c>
      <c r="H434" t="s">
        <v>15</v>
      </c>
      <c r="I434">
        <v>3</v>
      </c>
      <c r="J434" t="s">
        <v>30</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Middle Age</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Middle Age</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Middle Age</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Old</v>
      </c>
      <c r="N441" t="s">
        <v>18</v>
      </c>
    </row>
    <row r="442" spans="1:14" x14ac:dyDescent="0.3">
      <c r="A442">
        <v>21561</v>
      </c>
      <c r="B442" t="s">
        <v>37</v>
      </c>
      <c r="C442" t="s">
        <v>38</v>
      </c>
      <c r="D442" s="3">
        <v>90000</v>
      </c>
      <c r="E442">
        <v>0</v>
      </c>
      <c r="F442" t="s">
        <v>13</v>
      </c>
      <c r="G442" t="s">
        <v>21</v>
      </c>
      <c r="H442" t="s">
        <v>18</v>
      </c>
      <c r="I442">
        <v>3</v>
      </c>
      <c r="J442" t="s">
        <v>30</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Old</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30</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si="6"/>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ref="M452:M515" si="7">IF(OR(L465="",NOT(ISNUMBER(L465))),"Invalid",IF(L465&gt;54,"Old",IF(L465&gt;=31,"Middle Age","Adolescent")))</f>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Old</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Adolescent</v>
      </c>
      <c r="N459" t="s">
        <v>18</v>
      </c>
    </row>
    <row r="460" spans="1:14" x14ac:dyDescent="0.3">
      <c r="A460">
        <v>21560</v>
      </c>
      <c r="B460" t="s">
        <v>36</v>
      </c>
      <c r="C460" t="s">
        <v>38</v>
      </c>
      <c r="D460" s="3">
        <v>120000</v>
      </c>
      <c r="E460">
        <v>0</v>
      </c>
      <c r="F460" t="s">
        <v>29</v>
      </c>
      <c r="G460" t="s">
        <v>21</v>
      </c>
      <c r="H460" t="s">
        <v>15</v>
      </c>
      <c r="I460">
        <v>4</v>
      </c>
      <c r="J460" t="s">
        <v>30</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30</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Old</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Middle Age</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Middle Age</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Old</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Old</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Middle Age</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Old</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Old</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Middle Age</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30</v>
      </c>
      <c r="K488" t="s">
        <v>17</v>
      </c>
      <c r="L488">
        <v>58</v>
      </c>
      <c r="M488" t="str">
        <f t="shared" si="7"/>
        <v>Middle Age</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Adolescent</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30</v>
      </c>
      <c r="K495" t="s">
        <v>32</v>
      </c>
      <c r="L495">
        <v>60</v>
      </c>
      <c r="M495" t="str">
        <f t="shared" si="7"/>
        <v>Middle Age</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30</v>
      </c>
      <c r="K497" t="s">
        <v>32</v>
      </c>
      <c r="L497">
        <v>56</v>
      </c>
      <c r="M497" t="str">
        <f t="shared" si="7"/>
        <v>Adolescent</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Old</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Old</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Middle Age</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Old</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Old</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Old</v>
      </c>
      <c r="N514" t="s">
        <v>15</v>
      </c>
    </row>
    <row r="515" spans="1:14" x14ac:dyDescent="0.3">
      <c r="A515">
        <v>13353</v>
      </c>
      <c r="B515" t="s">
        <v>37</v>
      </c>
      <c r="C515" t="s">
        <v>39</v>
      </c>
      <c r="D515" s="3">
        <v>60000</v>
      </c>
      <c r="E515">
        <v>4</v>
      </c>
      <c r="F515" t="s">
        <v>31</v>
      </c>
      <c r="G515" t="s">
        <v>28</v>
      </c>
      <c r="H515" t="s">
        <v>15</v>
      </c>
      <c r="I515">
        <v>2</v>
      </c>
      <c r="J515" t="s">
        <v>30</v>
      </c>
      <c r="K515" t="s">
        <v>32</v>
      </c>
      <c r="L515">
        <v>61</v>
      </c>
      <c r="M515" t="str">
        <f t="shared" si="7"/>
        <v>Middle Age</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ref="M516:M579" si="8">IF(OR(L529="",NOT(ISNUMBER(L529))),"Invalid",IF(L529&gt;54,"Old",IF(L529&gt;=31,"Middle Age","Adolescent")))</f>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Adolescent</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Old</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Adolescent</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Adolescent</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Middle Age</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Old</v>
      </c>
      <c r="N522" t="s">
        <v>18</v>
      </c>
    </row>
    <row r="523" spans="1:14" x14ac:dyDescent="0.3">
      <c r="A523">
        <v>18976</v>
      </c>
      <c r="B523" t="s">
        <v>37</v>
      </c>
      <c r="C523" t="s">
        <v>38</v>
      </c>
      <c r="D523" s="3">
        <v>40000</v>
      </c>
      <c r="E523">
        <v>4</v>
      </c>
      <c r="F523" t="s">
        <v>27</v>
      </c>
      <c r="G523" t="s">
        <v>21</v>
      </c>
      <c r="H523" t="s">
        <v>15</v>
      </c>
      <c r="I523">
        <v>2</v>
      </c>
      <c r="J523" t="s">
        <v>30</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Middle Age</v>
      </c>
      <c r="N526" t="s">
        <v>18</v>
      </c>
    </row>
    <row r="527" spans="1:14" x14ac:dyDescent="0.3">
      <c r="A527">
        <v>16791</v>
      </c>
      <c r="B527" t="s">
        <v>37</v>
      </c>
      <c r="C527" t="s">
        <v>38</v>
      </c>
      <c r="D527" s="3">
        <v>60000</v>
      </c>
      <c r="E527">
        <v>5</v>
      </c>
      <c r="F527" t="s">
        <v>13</v>
      </c>
      <c r="G527" t="s">
        <v>28</v>
      </c>
      <c r="H527" t="s">
        <v>15</v>
      </c>
      <c r="I527">
        <v>3</v>
      </c>
      <c r="J527" t="s">
        <v>30</v>
      </c>
      <c r="K527" t="s">
        <v>32</v>
      </c>
      <c r="L527">
        <v>59</v>
      </c>
      <c r="M527" t="str">
        <f t="shared" si="8"/>
        <v>Middle Age</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Middle Age</v>
      </c>
      <c r="N530" t="s">
        <v>18</v>
      </c>
    </row>
    <row r="531" spans="1:14" x14ac:dyDescent="0.3">
      <c r="A531">
        <v>13233</v>
      </c>
      <c r="B531" t="s">
        <v>36</v>
      </c>
      <c r="C531" t="s">
        <v>38</v>
      </c>
      <c r="D531" s="3">
        <v>60000</v>
      </c>
      <c r="E531">
        <v>2</v>
      </c>
      <c r="F531" t="s">
        <v>19</v>
      </c>
      <c r="G531" t="s">
        <v>21</v>
      </c>
      <c r="H531" t="s">
        <v>15</v>
      </c>
      <c r="I531">
        <v>1</v>
      </c>
      <c r="J531" t="s">
        <v>30</v>
      </c>
      <c r="K531" t="s">
        <v>32</v>
      </c>
      <c r="L531">
        <v>57</v>
      </c>
      <c r="M531" t="str">
        <f t="shared" si="8"/>
        <v>Adolescent</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Middle Age</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Middle Age</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Adolescent</v>
      </c>
      <c r="N534" t="s">
        <v>15</v>
      </c>
    </row>
    <row r="535" spans="1:14" x14ac:dyDescent="0.3">
      <c r="A535">
        <v>24941</v>
      </c>
      <c r="B535" t="s">
        <v>36</v>
      </c>
      <c r="C535" t="s">
        <v>38</v>
      </c>
      <c r="D535" s="3">
        <v>60000</v>
      </c>
      <c r="E535">
        <v>3</v>
      </c>
      <c r="F535" t="s">
        <v>13</v>
      </c>
      <c r="G535" t="s">
        <v>28</v>
      </c>
      <c r="H535" t="s">
        <v>15</v>
      </c>
      <c r="I535">
        <v>2</v>
      </c>
      <c r="J535" t="s">
        <v>30</v>
      </c>
      <c r="K535" t="s">
        <v>32</v>
      </c>
      <c r="L535">
        <v>66</v>
      </c>
      <c r="M535" t="str">
        <f t="shared" si="8"/>
        <v>Middle Age</v>
      </c>
      <c r="N535" t="s">
        <v>18</v>
      </c>
    </row>
    <row r="536" spans="1:14" x14ac:dyDescent="0.3">
      <c r="A536">
        <v>24637</v>
      </c>
      <c r="B536" t="s">
        <v>36</v>
      </c>
      <c r="C536" t="s">
        <v>38</v>
      </c>
      <c r="D536" s="3">
        <v>40000</v>
      </c>
      <c r="E536">
        <v>4</v>
      </c>
      <c r="F536" t="s">
        <v>27</v>
      </c>
      <c r="G536" t="s">
        <v>21</v>
      </c>
      <c r="H536" t="s">
        <v>15</v>
      </c>
      <c r="I536">
        <v>2</v>
      </c>
      <c r="J536" t="s">
        <v>30</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30</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Old</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Old</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Middle Age</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Middle Age</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Old</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Adolescent</v>
      </c>
      <c r="N552" t="s">
        <v>15</v>
      </c>
    </row>
    <row r="553" spans="1:14" x14ac:dyDescent="0.3">
      <c r="A553">
        <v>27393</v>
      </c>
      <c r="B553" t="s">
        <v>36</v>
      </c>
      <c r="C553" t="s">
        <v>39</v>
      </c>
      <c r="D553" s="3">
        <v>50000</v>
      </c>
      <c r="E553">
        <v>4</v>
      </c>
      <c r="F553" t="s">
        <v>13</v>
      </c>
      <c r="G553" t="s">
        <v>28</v>
      </c>
      <c r="H553" t="s">
        <v>15</v>
      </c>
      <c r="I553">
        <v>2</v>
      </c>
      <c r="J553" t="s">
        <v>30</v>
      </c>
      <c r="K553" t="s">
        <v>32</v>
      </c>
      <c r="L553">
        <v>63</v>
      </c>
      <c r="M553" t="str">
        <f t="shared" si="8"/>
        <v>Adolescent</v>
      </c>
      <c r="N553" t="s">
        <v>18</v>
      </c>
    </row>
    <row r="554" spans="1:14" x14ac:dyDescent="0.3">
      <c r="A554">
        <v>14417</v>
      </c>
      <c r="B554" t="s">
        <v>37</v>
      </c>
      <c r="C554" t="s">
        <v>38</v>
      </c>
      <c r="D554" s="3">
        <v>60000</v>
      </c>
      <c r="E554">
        <v>3</v>
      </c>
      <c r="F554" t="s">
        <v>27</v>
      </c>
      <c r="G554" t="s">
        <v>21</v>
      </c>
      <c r="H554" t="s">
        <v>15</v>
      </c>
      <c r="I554">
        <v>2</v>
      </c>
      <c r="J554" t="s">
        <v>30</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Old</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Old</v>
      </c>
      <c r="N560" t="s">
        <v>18</v>
      </c>
    </row>
    <row r="561" spans="1:14" x14ac:dyDescent="0.3">
      <c r="A561">
        <v>15895</v>
      </c>
      <c r="B561" t="s">
        <v>37</v>
      </c>
      <c r="C561" t="s">
        <v>39</v>
      </c>
      <c r="D561" s="3">
        <v>60000</v>
      </c>
      <c r="E561">
        <v>2</v>
      </c>
      <c r="F561" t="s">
        <v>13</v>
      </c>
      <c r="G561" t="s">
        <v>28</v>
      </c>
      <c r="H561" t="s">
        <v>15</v>
      </c>
      <c r="I561">
        <v>0</v>
      </c>
      <c r="J561" t="s">
        <v>30</v>
      </c>
      <c r="K561" t="s">
        <v>32</v>
      </c>
      <c r="L561">
        <v>58</v>
      </c>
      <c r="M561" t="str">
        <f t="shared" si="8"/>
        <v>Adolescent</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Old</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Old</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Middle Age</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Middle Age</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Middle Age</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Old</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Adolescent</v>
      </c>
      <c r="N570" t="s">
        <v>15</v>
      </c>
    </row>
    <row r="571" spans="1:14" x14ac:dyDescent="0.3">
      <c r="A571">
        <v>26452</v>
      </c>
      <c r="B571" t="s">
        <v>37</v>
      </c>
      <c r="C571" t="s">
        <v>38</v>
      </c>
      <c r="D571" s="3">
        <v>50000</v>
      </c>
      <c r="E571">
        <v>3</v>
      </c>
      <c r="F571" t="s">
        <v>31</v>
      </c>
      <c r="G571" t="s">
        <v>28</v>
      </c>
      <c r="H571" t="s">
        <v>15</v>
      </c>
      <c r="I571">
        <v>2</v>
      </c>
      <c r="J571" t="s">
        <v>30</v>
      </c>
      <c r="K571" t="s">
        <v>32</v>
      </c>
      <c r="L571">
        <v>69</v>
      </c>
      <c r="M571" t="str">
        <f t="shared" si="8"/>
        <v>Middle Age</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Old</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Middle Age</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Middle Age</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30</v>
      </c>
      <c r="K577" t="s">
        <v>32</v>
      </c>
      <c r="L577">
        <v>56</v>
      </c>
      <c r="M577" t="str">
        <f t="shared" si="8"/>
        <v>Middle Age</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Old</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si="8"/>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ref="M580:M643" si="9">IF(OR(L593="",NOT(ISNUMBER(L593))),"Invalid",IF(L593&gt;54,"Old",IF(L593&gt;=31,"Middle Age","Adolescent")))</f>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30</v>
      </c>
      <c r="K582" t="s">
        <v>32</v>
      </c>
      <c r="L582">
        <v>69</v>
      </c>
      <c r="M582" t="str">
        <f t="shared" si="9"/>
        <v>Middle Age</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Old</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Old</v>
      </c>
      <c r="N584" t="s">
        <v>18</v>
      </c>
    </row>
    <row r="585" spans="1:14" x14ac:dyDescent="0.3">
      <c r="A585">
        <v>24943</v>
      </c>
      <c r="B585" t="s">
        <v>36</v>
      </c>
      <c r="C585" t="s">
        <v>38</v>
      </c>
      <c r="D585" s="3">
        <v>60000</v>
      </c>
      <c r="E585">
        <v>3</v>
      </c>
      <c r="F585" t="s">
        <v>13</v>
      </c>
      <c r="G585" t="s">
        <v>28</v>
      </c>
      <c r="H585" t="s">
        <v>15</v>
      </c>
      <c r="I585">
        <v>2</v>
      </c>
      <c r="J585" t="s">
        <v>30</v>
      </c>
      <c r="K585" t="s">
        <v>32</v>
      </c>
      <c r="L585">
        <v>66</v>
      </c>
      <c r="M585" t="str">
        <f t="shared" si="9"/>
        <v>Middle Age</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Old</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Old</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30</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30</v>
      </c>
      <c r="K591" t="s">
        <v>32</v>
      </c>
      <c r="L591">
        <v>57</v>
      </c>
      <c r="M591" t="str">
        <f t="shared" si="9"/>
        <v>Middle Age</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30</v>
      </c>
      <c r="K593" t="s">
        <v>32</v>
      </c>
      <c r="L593">
        <v>61</v>
      </c>
      <c r="M593" t="str">
        <f t="shared" si="9"/>
        <v>Adolescent</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Middle Age</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Middle Age</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Middle Age</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Adolescent</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Middle Age</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Adolescent</v>
      </c>
      <c r="N608" t="s">
        <v>18</v>
      </c>
    </row>
    <row r="609" spans="1:14" x14ac:dyDescent="0.3">
      <c r="A609">
        <v>16145</v>
      </c>
      <c r="B609" t="s">
        <v>37</v>
      </c>
      <c r="C609" t="s">
        <v>39</v>
      </c>
      <c r="D609" s="3">
        <v>70000</v>
      </c>
      <c r="E609">
        <v>5</v>
      </c>
      <c r="F609" t="s">
        <v>31</v>
      </c>
      <c r="G609" t="s">
        <v>21</v>
      </c>
      <c r="H609" t="s">
        <v>15</v>
      </c>
      <c r="I609">
        <v>3</v>
      </c>
      <c r="J609" t="s">
        <v>30</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Old</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Old</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Adolescent</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Old</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Adolescent</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Old</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Adolescent</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Middle Age</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Old</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Old</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Middle Age</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Middle Age</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Old</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Old</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Middle Age</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Middle Age</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Middle Age</v>
      </c>
      <c r="N642" t="s">
        <v>15</v>
      </c>
    </row>
    <row r="643" spans="1:14" x14ac:dyDescent="0.3">
      <c r="A643">
        <v>21441</v>
      </c>
      <c r="B643" t="s">
        <v>36</v>
      </c>
      <c r="C643" t="s">
        <v>38</v>
      </c>
      <c r="D643" s="3">
        <v>50000</v>
      </c>
      <c r="E643">
        <v>4</v>
      </c>
      <c r="F643" t="s">
        <v>13</v>
      </c>
      <c r="G643" t="s">
        <v>28</v>
      </c>
      <c r="H643" t="s">
        <v>15</v>
      </c>
      <c r="I643">
        <v>2</v>
      </c>
      <c r="J643" t="s">
        <v>30</v>
      </c>
      <c r="K643" t="s">
        <v>32</v>
      </c>
      <c r="L643">
        <v>64</v>
      </c>
      <c r="M643" t="str">
        <f t="shared" si="9"/>
        <v>Middle Age</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ref="M644:M707" si="10">IF(OR(L657="",NOT(ISNUMBER(L657))),"Invalid",IF(L657&gt;54,"Old",IF(L657&gt;=31,"Middle Age","Adolescent")))</f>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30</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Old</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Adolescent</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30</v>
      </c>
      <c r="K652" t="s">
        <v>32</v>
      </c>
      <c r="L652">
        <v>67</v>
      </c>
      <c r="M652" t="str">
        <f t="shared" si="10"/>
        <v>Middle Age</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Old</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Old</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30</v>
      </c>
      <c r="K661" t="s">
        <v>32</v>
      </c>
      <c r="L661">
        <v>63</v>
      </c>
      <c r="M661" t="str">
        <f t="shared" si="10"/>
        <v>Adolescent</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Middle Age</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Old</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Old</v>
      </c>
      <c r="N668" t="s">
        <v>15</v>
      </c>
    </row>
    <row r="669" spans="1:14" x14ac:dyDescent="0.3">
      <c r="A669">
        <v>20505</v>
      </c>
      <c r="B669" t="s">
        <v>36</v>
      </c>
      <c r="C669" t="s">
        <v>39</v>
      </c>
      <c r="D669" s="3">
        <v>40000</v>
      </c>
      <c r="E669">
        <v>5</v>
      </c>
      <c r="F669" t="s">
        <v>27</v>
      </c>
      <c r="G669" t="s">
        <v>21</v>
      </c>
      <c r="H669" t="s">
        <v>18</v>
      </c>
      <c r="I669">
        <v>2</v>
      </c>
      <c r="J669" t="s">
        <v>30</v>
      </c>
      <c r="K669" t="s">
        <v>32</v>
      </c>
      <c r="L669">
        <v>61</v>
      </c>
      <c r="M669" t="str">
        <f t="shared" si="10"/>
        <v>Middle Age</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30</v>
      </c>
      <c r="K672" t="s">
        <v>32</v>
      </c>
      <c r="L672">
        <v>59</v>
      </c>
      <c r="M672" t="str">
        <f t="shared" si="10"/>
        <v>Middle Age</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Middle Age</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Adolescent</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Adolescent</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Adolescent</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Middle Age</v>
      </c>
      <c r="N680" t="s">
        <v>18</v>
      </c>
    </row>
    <row r="681" spans="1:14" x14ac:dyDescent="0.3">
      <c r="A681">
        <v>21770</v>
      </c>
      <c r="B681" t="s">
        <v>36</v>
      </c>
      <c r="C681" t="s">
        <v>38</v>
      </c>
      <c r="D681" s="3">
        <v>60000</v>
      </c>
      <c r="E681">
        <v>4</v>
      </c>
      <c r="F681" t="s">
        <v>13</v>
      </c>
      <c r="G681" t="s">
        <v>28</v>
      </c>
      <c r="H681" t="s">
        <v>15</v>
      </c>
      <c r="I681">
        <v>2</v>
      </c>
      <c r="J681" t="s">
        <v>30</v>
      </c>
      <c r="K681" t="s">
        <v>32</v>
      </c>
      <c r="L681">
        <v>60</v>
      </c>
      <c r="M681" t="str">
        <f t="shared" si="10"/>
        <v>Middle Age</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Adolescent</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Adolescent</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Old</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Middle Age</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Old</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Old</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Old</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Middle Age</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Old</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Old</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Middle Age</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30</v>
      </c>
      <c r="K707" t="s">
        <v>32</v>
      </c>
      <c r="L707">
        <v>59</v>
      </c>
      <c r="M707" t="str">
        <f t="shared" si="10"/>
        <v>Middle Age</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ref="M708:M771" si="11">IF(OR(L721="",NOT(ISNUMBER(L721))),"Invalid",IF(L721&gt;54,"Old",IF(L721&gt;=31,"Middle Age","Adolescent")))</f>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Old</v>
      </c>
      <c r="N709" t="s">
        <v>15</v>
      </c>
    </row>
    <row r="710" spans="1:14" x14ac:dyDescent="0.3">
      <c r="A710">
        <v>18069</v>
      </c>
      <c r="B710" t="s">
        <v>36</v>
      </c>
      <c r="C710" t="s">
        <v>38</v>
      </c>
      <c r="D710" s="3">
        <v>70000</v>
      </c>
      <c r="E710">
        <v>5</v>
      </c>
      <c r="F710" t="s">
        <v>13</v>
      </c>
      <c r="G710" t="s">
        <v>28</v>
      </c>
      <c r="H710" t="s">
        <v>15</v>
      </c>
      <c r="I710">
        <v>4</v>
      </c>
      <c r="J710" t="s">
        <v>30</v>
      </c>
      <c r="K710" t="s">
        <v>32</v>
      </c>
      <c r="L710">
        <v>60</v>
      </c>
      <c r="M710" t="str">
        <f t="shared" si="11"/>
        <v>Middle Age</v>
      </c>
      <c r="N710" t="s">
        <v>18</v>
      </c>
    </row>
    <row r="711" spans="1:14" x14ac:dyDescent="0.3">
      <c r="A711">
        <v>23712</v>
      </c>
      <c r="B711" t="s">
        <v>37</v>
      </c>
      <c r="C711" t="s">
        <v>39</v>
      </c>
      <c r="D711" s="3">
        <v>70000</v>
      </c>
      <c r="E711">
        <v>2</v>
      </c>
      <c r="F711" t="s">
        <v>13</v>
      </c>
      <c r="G711" t="s">
        <v>28</v>
      </c>
      <c r="H711" t="s">
        <v>15</v>
      </c>
      <c r="I711">
        <v>1</v>
      </c>
      <c r="J711" t="s">
        <v>30</v>
      </c>
      <c r="K711" t="s">
        <v>32</v>
      </c>
      <c r="L711">
        <v>59</v>
      </c>
      <c r="M711" t="str">
        <f t="shared" si="11"/>
        <v>Middle Age</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30</v>
      </c>
      <c r="K713" t="s">
        <v>32</v>
      </c>
      <c r="L713">
        <v>58</v>
      </c>
      <c r="M713" t="str">
        <f t="shared" si="11"/>
        <v>Middle Age</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Middle Age</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Middle Age</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Adolescent</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Middle Age</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Adolescent</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Old</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Adolescent</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Middle Age</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Adolescent</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Old</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Old</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Old</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Old</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30</v>
      </c>
      <c r="K741" t="s">
        <v>32</v>
      </c>
      <c r="L741">
        <v>55</v>
      </c>
      <c r="M741" t="str">
        <f t="shared" si="11"/>
        <v>Middle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Old</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Middle Age</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30</v>
      </c>
      <c r="K746" t="s">
        <v>32</v>
      </c>
      <c r="L746">
        <v>56</v>
      </c>
      <c r="M746" t="str">
        <f t="shared" si="11"/>
        <v>Middle Age</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30</v>
      </c>
      <c r="K748" t="s">
        <v>32</v>
      </c>
      <c r="L748">
        <v>56</v>
      </c>
      <c r="M748" t="str">
        <f t="shared" si="11"/>
        <v>Middle Age</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Middle Age</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Adolescent</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Middle Age</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Old</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30</v>
      </c>
      <c r="K763" t="s">
        <v>32</v>
      </c>
      <c r="L763">
        <v>59</v>
      </c>
      <c r="M763" t="str">
        <f t="shared" si="11"/>
        <v>Middle Age</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Old</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30</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si="11"/>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ref="M772:M835" si="12">IF(OR(L785="",NOT(ISNUMBER(L785))),"Invalid",IF(L785&gt;54,"Old",IF(L785&gt;=31,"Middle Age","Adolescent")))</f>
        <v>Middle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Adolescent</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Old</v>
      </c>
      <c r="N776" t="s">
        <v>15</v>
      </c>
    </row>
    <row r="777" spans="1:14" x14ac:dyDescent="0.3">
      <c r="A777">
        <v>29030</v>
      </c>
      <c r="B777" t="s">
        <v>36</v>
      </c>
      <c r="C777" t="s">
        <v>38</v>
      </c>
      <c r="D777" s="3">
        <v>70000</v>
      </c>
      <c r="E777">
        <v>2</v>
      </c>
      <c r="F777" t="s">
        <v>29</v>
      </c>
      <c r="G777" t="s">
        <v>14</v>
      </c>
      <c r="H777" t="s">
        <v>15</v>
      </c>
      <c r="I777">
        <v>2</v>
      </c>
      <c r="J777" t="s">
        <v>30</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Middle Age</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Middle Age</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Adolescent</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30</v>
      </c>
      <c r="K782" t="s">
        <v>32</v>
      </c>
      <c r="L782">
        <v>55</v>
      </c>
      <c r="M782" t="str">
        <f t="shared" si="12"/>
        <v>Middle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Old</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Old</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Adolescent</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Middle Age</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Old</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Adolescent</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Adolescent</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Middle Age</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Middle Age</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Middle Age</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Old</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Middle Age</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Middle Age</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Adolescent</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Adolescent</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Middle Age</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30</v>
      </c>
      <c r="K814" t="s">
        <v>32</v>
      </c>
      <c r="L814">
        <v>61</v>
      </c>
      <c r="M814" t="str">
        <f t="shared" si="12"/>
        <v>Middle Age</v>
      </c>
      <c r="N814" t="s">
        <v>18</v>
      </c>
    </row>
    <row r="815" spans="1:14" x14ac:dyDescent="0.3">
      <c r="A815">
        <v>25899</v>
      </c>
      <c r="B815" t="s">
        <v>36</v>
      </c>
      <c r="C815" t="s">
        <v>39</v>
      </c>
      <c r="D815" s="3">
        <v>70000</v>
      </c>
      <c r="E815">
        <v>2</v>
      </c>
      <c r="F815" t="s">
        <v>27</v>
      </c>
      <c r="G815" t="s">
        <v>21</v>
      </c>
      <c r="H815" t="s">
        <v>15</v>
      </c>
      <c r="I815">
        <v>2</v>
      </c>
      <c r="J815" t="s">
        <v>30</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Middle Age</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Old</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Middle Age</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Middle Age</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Adolescent</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Old</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Middle Age</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Old</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si="12"/>
        <v>Old</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ref="M836:M899" si="13">IF(OR(L849="",NOT(ISNUMBER(L849))),"Invalid",IF(L849&gt;54,"Old",IF(L849&gt;=31,"Middle Age","Adolescent")))</f>
        <v>Adolescent</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Old</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Old</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30</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Middle Age</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Adolescent</v>
      </c>
      <c r="N845" t="s">
        <v>18</v>
      </c>
    </row>
    <row r="846" spans="1:14" x14ac:dyDescent="0.3">
      <c r="A846">
        <v>22743</v>
      </c>
      <c r="B846" t="s">
        <v>36</v>
      </c>
      <c r="C846" t="s">
        <v>39</v>
      </c>
      <c r="D846" s="3">
        <v>40000</v>
      </c>
      <c r="E846">
        <v>5</v>
      </c>
      <c r="F846" t="s">
        <v>27</v>
      </c>
      <c r="G846" t="s">
        <v>21</v>
      </c>
      <c r="H846" t="s">
        <v>15</v>
      </c>
      <c r="I846">
        <v>2</v>
      </c>
      <c r="J846" t="s">
        <v>30</v>
      </c>
      <c r="K846" t="s">
        <v>32</v>
      </c>
      <c r="L846">
        <v>60</v>
      </c>
      <c r="M846" t="str">
        <f t="shared" si="13"/>
        <v>Middle Age</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Middle Age</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Middle Age</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Middle Age</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Middle Age</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Old</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Old</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Middle Age</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Old</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Adolescent</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Old</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Old</v>
      </c>
      <c r="N867" t="s">
        <v>15</v>
      </c>
    </row>
    <row r="868" spans="1:14" x14ac:dyDescent="0.3">
      <c r="A868">
        <v>28052</v>
      </c>
      <c r="B868" t="s">
        <v>36</v>
      </c>
      <c r="C868" t="s">
        <v>38</v>
      </c>
      <c r="D868" s="3">
        <v>60000</v>
      </c>
      <c r="E868">
        <v>2</v>
      </c>
      <c r="F868" t="s">
        <v>27</v>
      </c>
      <c r="G868" t="s">
        <v>21</v>
      </c>
      <c r="H868" t="s">
        <v>15</v>
      </c>
      <c r="I868">
        <v>2</v>
      </c>
      <c r="J868" t="s">
        <v>30</v>
      </c>
      <c r="K868" t="s">
        <v>32</v>
      </c>
      <c r="L868">
        <v>55</v>
      </c>
      <c r="M868" t="str">
        <f t="shared" si="13"/>
        <v>Middle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30</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30</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Middle Age</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Middle Age</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Middle Age</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Old</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Adolescent</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Old</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Old</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Middle Age</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Old</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Middle Age</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si="13"/>
        <v>Middle Age</v>
      </c>
      <c r="N899" t="s">
        <v>18</v>
      </c>
    </row>
    <row r="900" spans="1:14" x14ac:dyDescent="0.3">
      <c r="A900">
        <v>18066</v>
      </c>
      <c r="B900" t="s">
        <v>37</v>
      </c>
      <c r="C900" t="s">
        <v>38</v>
      </c>
      <c r="D900" s="3">
        <v>70000</v>
      </c>
      <c r="E900">
        <v>5</v>
      </c>
      <c r="F900" t="s">
        <v>13</v>
      </c>
      <c r="G900" t="s">
        <v>28</v>
      </c>
      <c r="H900" t="s">
        <v>15</v>
      </c>
      <c r="I900">
        <v>3</v>
      </c>
      <c r="J900" t="s">
        <v>30</v>
      </c>
      <c r="K900" t="s">
        <v>32</v>
      </c>
      <c r="L900">
        <v>60</v>
      </c>
      <c r="M900" t="str">
        <f t="shared" ref="M900:M963" si="14">IF(OR(L913="",NOT(ISNUMBER(L913))),"Invalid",IF(L913&gt;54,"Old",IF(L913&gt;=31,"Middle Age","Adolescent")))</f>
        <v>Old</v>
      </c>
      <c r="N900" t="s">
        <v>15</v>
      </c>
    </row>
    <row r="901" spans="1:14" x14ac:dyDescent="0.3">
      <c r="A901">
        <v>28192</v>
      </c>
      <c r="B901" t="s">
        <v>36</v>
      </c>
      <c r="C901" t="s">
        <v>39</v>
      </c>
      <c r="D901" s="3">
        <v>70000</v>
      </c>
      <c r="E901">
        <v>5</v>
      </c>
      <c r="F901" t="s">
        <v>31</v>
      </c>
      <c r="G901" t="s">
        <v>21</v>
      </c>
      <c r="H901" t="s">
        <v>15</v>
      </c>
      <c r="I901">
        <v>3</v>
      </c>
      <c r="J901" t="s">
        <v>30</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Old</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Middle Age</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Old</v>
      </c>
      <c r="N908" t="s">
        <v>15</v>
      </c>
    </row>
    <row r="909" spans="1:14" x14ac:dyDescent="0.3">
      <c r="A909">
        <v>19747</v>
      </c>
      <c r="B909" t="s">
        <v>36</v>
      </c>
      <c r="C909" t="s">
        <v>38</v>
      </c>
      <c r="D909" s="3">
        <v>50000</v>
      </c>
      <c r="E909">
        <v>4</v>
      </c>
      <c r="F909" t="s">
        <v>13</v>
      </c>
      <c r="G909" t="s">
        <v>28</v>
      </c>
      <c r="H909" t="s">
        <v>15</v>
      </c>
      <c r="I909">
        <v>2</v>
      </c>
      <c r="J909" t="s">
        <v>30</v>
      </c>
      <c r="K909" t="s">
        <v>32</v>
      </c>
      <c r="L909">
        <v>63</v>
      </c>
      <c r="M909" t="str">
        <f t="shared" si="14"/>
        <v>Middle Age</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Middle Age</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Old</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30</v>
      </c>
      <c r="K917" t="s">
        <v>32</v>
      </c>
      <c r="L917">
        <v>64</v>
      </c>
      <c r="M917" t="str">
        <f t="shared" si="14"/>
        <v>Middle Age</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30</v>
      </c>
      <c r="K921" t="s">
        <v>32</v>
      </c>
      <c r="L921">
        <v>61</v>
      </c>
      <c r="M921" t="str">
        <f t="shared" si="14"/>
        <v>Adolescent</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Adolescent</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Old</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Old</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Adolescent</v>
      </c>
      <c r="N927" t="s">
        <v>15</v>
      </c>
    </row>
    <row r="928" spans="1:14" x14ac:dyDescent="0.3">
      <c r="A928">
        <v>26495</v>
      </c>
      <c r="B928" t="s">
        <v>37</v>
      </c>
      <c r="C928" t="s">
        <v>39</v>
      </c>
      <c r="D928" s="3">
        <v>40000</v>
      </c>
      <c r="E928">
        <v>2</v>
      </c>
      <c r="F928" t="s">
        <v>27</v>
      </c>
      <c r="G928" t="s">
        <v>21</v>
      </c>
      <c r="H928" t="s">
        <v>15</v>
      </c>
      <c r="I928">
        <v>2</v>
      </c>
      <c r="J928" t="s">
        <v>30</v>
      </c>
      <c r="K928" t="s">
        <v>32</v>
      </c>
      <c r="L928">
        <v>57</v>
      </c>
      <c r="M928" t="str">
        <f t="shared" si="14"/>
        <v>Middle Age</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30</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Middle Age</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Old</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Middle Age</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Middle Age</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Middle Age</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Old</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Adolescent</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Adolescent</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Middle Age</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Old</v>
      </c>
      <c r="N950" t="s">
        <v>18</v>
      </c>
    </row>
    <row r="951" spans="1:14" x14ac:dyDescent="0.3">
      <c r="A951">
        <v>28056</v>
      </c>
      <c r="B951" t="s">
        <v>36</v>
      </c>
      <c r="C951" t="s">
        <v>38</v>
      </c>
      <c r="D951" s="3">
        <v>70000</v>
      </c>
      <c r="E951">
        <v>2</v>
      </c>
      <c r="F951" t="s">
        <v>29</v>
      </c>
      <c r="G951" t="s">
        <v>14</v>
      </c>
      <c r="H951" t="s">
        <v>15</v>
      </c>
      <c r="I951">
        <v>2</v>
      </c>
      <c r="J951" t="s">
        <v>30</v>
      </c>
      <c r="K951" t="s">
        <v>32</v>
      </c>
      <c r="L951">
        <v>53</v>
      </c>
      <c r="M951" t="str">
        <f t="shared" si="14"/>
        <v>Old</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Old</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Old</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Middle Age</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Middle Age</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Old</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Adolescent</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Middle Age</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si="14"/>
        <v>Middle Age</v>
      </c>
      <c r="N963" t="s">
        <v>18</v>
      </c>
    </row>
    <row r="964" spans="1:14" x14ac:dyDescent="0.3">
      <c r="A964">
        <v>16813</v>
      </c>
      <c r="B964" t="s">
        <v>36</v>
      </c>
      <c r="C964" t="s">
        <v>38</v>
      </c>
      <c r="D964" s="3">
        <v>60000</v>
      </c>
      <c r="E964">
        <v>2</v>
      </c>
      <c r="F964" t="s">
        <v>19</v>
      </c>
      <c r="G964" t="s">
        <v>21</v>
      </c>
      <c r="H964" t="s">
        <v>15</v>
      </c>
      <c r="I964">
        <v>2</v>
      </c>
      <c r="J964" t="s">
        <v>30</v>
      </c>
      <c r="K964" t="s">
        <v>32</v>
      </c>
      <c r="L964">
        <v>55</v>
      </c>
      <c r="M964" t="str">
        <f t="shared" ref="M964:M1001" si="15">IF(OR(L977="",NOT(ISNUMBER(L977))),"Invalid",IF(L977&gt;54,"Old",IF(L977&gt;=31,"Middle Age","Adolescent")))</f>
        <v>Middle Age</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30</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Middle Age</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Middle Age</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Old</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Old</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Old</v>
      </c>
      <c r="N977" t="s">
        <v>15</v>
      </c>
    </row>
    <row r="978" spans="1:14" x14ac:dyDescent="0.3">
      <c r="A978">
        <v>28004</v>
      </c>
      <c r="B978" t="s">
        <v>36</v>
      </c>
      <c r="C978" t="s">
        <v>39</v>
      </c>
      <c r="D978" s="3">
        <v>60000</v>
      </c>
      <c r="E978">
        <v>3</v>
      </c>
      <c r="F978" t="s">
        <v>13</v>
      </c>
      <c r="G978" t="s">
        <v>28</v>
      </c>
      <c r="H978" t="s">
        <v>15</v>
      </c>
      <c r="I978">
        <v>2</v>
      </c>
      <c r="J978" t="s">
        <v>30</v>
      </c>
      <c r="K978" t="s">
        <v>32</v>
      </c>
      <c r="L978">
        <v>66</v>
      </c>
      <c r="M978" t="str">
        <f t="shared" si="15"/>
        <v>Middle Age</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Adolescent</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30</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30</v>
      </c>
      <c r="K988" t="s">
        <v>32</v>
      </c>
      <c r="L988">
        <v>60</v>
      </c>
      <c r="M988" t="str">
        <f t="shared" si="15"/>
        <v>Middle Age</v>
      </c>
      <c r="N988" t="s">
        <v>15</v>
      </c>
    </row>
    <row r="989" spans="1:14" x14ac:dyDescent="0.3">
      <c r="A989">
        <v>28972</v>
      </c>
      <c r="B989" t="s">
        <v>37</v>
      </c>
      <c r="C989" t="s">
        <v>39</v>
      </c>
      <c r="D989" s="3">
        <v>60000</v>
      </c>
      <c r="E989">
        <v>3</v>
      </c>
      <c r="F989" t="s">
        <v>31</v>
      </c>
      <c r="G989" t="s">
        <v>28</v>
      </c>
      <c r="H989" t="s">
        <v>15</v>
      </c>
      <c r="I989">
        <v>2</v>
      </c>
      <c r="J989" t="s">
        <v>30</v>
      </c>
      <c r="K989" t="s">
        <v>32</v>
      </c>
      <c r="L989">
        <v>66</v>
      </c>
      <c r="M989" t="str">
        <f t="shared" si="15"/>
        <v>Invalid</v>
      </c>
      <c r="N989" t="s">
        <v>18</v>
      </c>
    </row>
    <row r="990" spans="1:14" x14ac:dyDescent="0.3">
      <c r="A990">
        <v>22730</v>
      </c>
      <c r="B990" t="s">
        <v>36</v>
      </c>
      <c r="C990" t="s">
        <v>38</v>
      </c>
      <c r="D990" s="3">
        <v>70000</v>
      </c>
      <c r="E990">
        <v>5</v>
      </c>
      <c r="F990" t="s">
        <v>13</v>
      </c>
      <c r="G990" t="s">
        <v>28</v>
      </c>
      <c r="H990" t="s">
        <v>15</v>
      </c>
      <c r="I990">
        <v>2</v>
      </c>
      <c r="J990" t="s">
        <v>30</v>
      </c>
      <c r="K990" t="s">
        <v>32</v>
      </c>
      <c r="L990">
        <v>63</v>
      </c>
      <c r="M990" t="str">
        <f t="shared" si="15"/>
        <v>Invalid</v>
      </c>
      <c r="N990" t="s">
        <v>18</v>
      </c>
    </row>
    <row r="991" spans="1:14" x14ac:dyDescent="0.3">
      <c r="A991">
        <v>29134</v>
      </c>
      <c r="B991" t="s">
        <v>36</v>
      </c>
      <c r="C991" t="s">
        <v>38</v>
      </c>
      <c r="D991" s="3">
        <v>60000</v>
      </c>
      <c r="E991">
        <v>4</v>
      </c>
      <c r="F991" t="s">
        <v>13</v>
      </c>
      <c r="G991" t="s">
        <v>14</v>
      </c>
      <c r="H991" t="s">
        <v>18</v>
      </c>
      <c r="I991">
        <v>3</v>
      </c>
      <c r="J991" t="s">
        <v>30</v>
      </c>
      <c r="K991" t="s">
        <v>32</v>
      </c>
      <c r="L991">
        <v>42</v>
      </c>
      <c r="M991" t="str">
        <f t="shared" si="15"/>
        <v>Invalid</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Invalid</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Invalid</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Invalid</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Invalid</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Invalid</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Invalid</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Invalid</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Invalid</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Invalid</v>
      </c>
      <c r="N1000" t="s">
        <v>18</v>
      </c>
    </row>
    <row r="1001" spans="1:14" x14ac:dyDescent="0.3">
      <c r="A1001">
        <v>12121</v>
      </c>
      <c r="B1001" t="s">
        <v>37</v>
      </c>
      <c r="C1001" t="s">
        <v>38</v>
      </c>
      <c r="D1001" s="3">
        <v>60000</v>
      </c>
      <c r="E1001">
        <v>3</v>
      </c>
      <c r="F1001" t="s">
        <v>27</v>
      </c>
      <c r="G1001" t="s">
        <v>21</v>
      </c>
      <c r="H1001" t="s">
        <v>15</v>
      </c>
      <c r="I1001">
        <v>2</v>
      </c>
      <c r="J1001" t="s">
        <v>30</v>
      </c>
      <c r="K1001" t="s">
        <v>32</v>
      </c>
      <c r="L1001">
        <v>53</v>
      </c>
      <c r="M1001" t="str">
        <f t="shared" si="15"/>
        <v>Invalid</v>
      </c>
      <c r="N1001" t="s">
        <v>15</v>
      </c>
    </row>
  </sheetData>
  <autoFilter ref="A1:N1001" xr:uid="{D1C6C846-EBB3-4D86-9710-98F3B0B55A3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44A08-A5E1-47AE-B410-251F0036BC4D}">
  <dimension ref="A1:M39"/>
  <sheetViews>
    <sheetView showGridLines="0" zoomScale="76" zoomScaleNormal="70" workbookViewId="0">
      <selection activeCell="B39" sqref="B39"/>
    </sheetView>
  </sheetViews>
  <sheetFormatPr defaultRowHeight="14.4" x14ac:dyDescent="0.3"/>
  <cols>
    <col min="13" max="13" width="61.5546875" customWidth="1"/>
  </cols>
  <sheetData>
    <row r="1" spans="1:13" x14ac:dyDescent="0.3">
      <c r="A1" s="6"/>
      <c r="B1" s="6"/>
      <c r="C1" s="6"/>
      <c r="D1" s="6"/>
      <c r="E1" s="6"/>
      <c r="F1" s="6"/>
      <c r="G1" s="6"/>
      <c r="H1" s="6"/>
      <c r="I1" s="6"/>
      <c r="J1" s="6"/>
      <c r="K1" s="6"/>
      <c r="L1" s="6"/>
      <c r="M1" s="6"/>
    </row>
    <row r="2" spans="1:13" x14ac:dyDescent="0.3">
      <c r="A2" s="6"/>
      <c r="B2" s="6"/>
      <c r="C2" s="6"/>
      <c r="D2" s="6"/>
      <c r="E2" s="6"/>
      <c r="F2" s="6"/>
      <c r="G2" s="6"/>
      <c r="H2" s="6"/>
      <c r="I2" s="6"/>
      <c r="J2" s="6"/>
      <c r="K2" s="6"/>
      <c r="L2" s="6"/>
      <c r="M2" s="6"/>
    </row>
    <row r="3" spans="1:13" x14ac:dyDescent="0.3">
      <c r="A3" s="6"/>
      <c r="B3" s="6"/>
      <c r="C3" s="6"/>
      <c r="D3" s="6"/>
      <c r="E3" s="6"/>
      <c r="F3" s="6"/>
      <c r="G3" s="6"/>
      <c r="H3" s="6"/>
      <c r="I3" s="6"/>
      <c r="J3" s="6"/>
      <c r="K3" s="6"/>
      <c r="L3" s="6"/>
      <c r="M3" s="6"/>
    </row>
    <row r="4" spans="1:13" x14ac:dyDescent="0.3">
      <c r="A4" s="6"/>
      <c r="B4" s="6"/>
      <c r="C4" s="6"/>
      <c r="D4" s="6"/>
      <c r="E4" s="6"/>
      <c r="F4" s="6"/>
      <c r="G4" s="6"/>
      <c r="H4" s="6"/>
      <c r="I4" s="6"/>
      <c r="J4" s="6"/>
      <c r="K4" s="6"/>
      <c r="L4" s="6"/>
      <c r="M4" s="6"/>
    </row>
    <row r="5" spans="1:13" ht="58.8" x14ac:dyDescent="0.85">
      <c r="A5" s="6"/>
      <c r="B5" s="9" t="s">
        <v>52</v>
      </c>
      <c r="C5" s="8"/>
      <c r="D5" s="8"/>
      <c r="E5" s="7"/>
      <c r="F5" s="6"/>
      <c r="G5" s="6"/>
      <c r="H5" s="6"/>
      <c r="I5" s="6"/>
      <c r="J5" s="6"/>
      <c r="K5" s="6"/>
      <c r="L5" s="6"/>
      <c r="M5" s="6"/>
    </row>
    <row r="6" spans="1:13" x14ac:dyDescent="0.3">
      <c r="A6" s="6"/>
      <c r="B6" s="6"/>
      <c r="C6" s="6"/>
      <c r="D6" s="6"/>
      <c r="E6" s="6"/>
      <c r="F6" s="6"/>
      <c r="G6" s="6"/>
      <c r="H6" s="6"/>
      <c r="I6" s="6"/>
      <c r="J6" s="6"/>
      <c r="K6" s="6"/>
      <c r="L6" s="6"/>
      <c r="M6" s="6"/>
    </row>
    <row r="7" spans="1:13" x14ac:dyDescent="0.3">
      <c r="A7" s="6"/>
      <c r="B7" s="6"/>
      <c r="C7" s="6"/>
      <c r="D7" s="6"/>
      <c r="E7" s="6"/>
      <c r="F7" s="6"/>
      <c r="G7" s="6"/>
      <c r="H7" s="6"/>
      <c r="I7" s="6"/>
      <c r="J7" s="6"/>
      <c r="K7" s="6"/>
      <c r="L7" s="6"/>
      <c r="M7" s="6"/>
    </row>
    <row r="8" spans="1:13" x14ac:dyDescent="0.3">
      <c r="A8" s="6"/>
      <c r="B8" s="6"/>
      <c r="C8" s="6"/>
      <c r="D8" s="6"/>
      <c r="E8" s="6"/>
      <c r="F8" s="6"/>
      <c r="G8" s="6"/>
      <c r="H8" s="6"/>
      <c r="I8" s="6"/>
      <c r="J8" s="6"/>
      <c r="K8" s="6"/>
      <c r="L8" s="6"/>
      <c r="M8" s="6"/>
    </row>
    <row r="39" spans="2:2" x14ac:dyDescent="0.3">
      <c r="B39" t="s">
        <v>35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18CD-6639-4331-B9EF-2E00171F24C1}">
  <dimension ref="A3:G84"/>
  <sheetViews>
    <sheetView zoomScale="104" workbookViewId="0">
      <selection activeCell="P15" sqref="P15"/>
    </sheetView>
  </sheetViews>
  <sheetFormatPr defaultRowHeight="14.4" x14ac:dyDescent="0.3"/>
  <cols>
    <col min="1" max="1" width="12.6640625" bestFit="1" customWidth="1"/>
    <col min="2" max="2" width="21.88671875" bestFit="1" customWidth="1"/>
    <col min="3" max="3" width="10.6640625" bestFit="1" customWidth="1"/>
    <col min="4" max="4" width="21.88671875" bestFit="1" customWidth="1"/>
    <col min="5" max="5" width="10.6640625" bestFit="1" customWidth="1"/>
    <col min="6" max="6" width="26.6640625" bestFit="1" customWidth="1"/>
    <col min="7" max="7" width="15.44140625" bestFit="1" customWidth="1"/>
  </cols>
  <sheetData>
    <row r="3" spans="1:4" x14ac:dyDescent="0.3">
      <c r="A3" s="4" t="s">
        <v>43</v>
      </c>
      <c r="B3" s="4" t="s">
        <v>44</v>
      </c>
    </row>
    <row r="4" spans="1:4" x14ac:dyDescent="0.3">
      <c r="A4" s="4" t="s">
        <v>41</v>
      </c>
      <c r="B4" t="s">
        <v>18</v>
      </c>
      <c r="C4" t="s">
        <v>15</v>
      </c>
      <c r="D4" t="s">
        <v>42</v>
      </c>
    </row>
    <row r="5" spans="1:4" x14ac:dyDescent="0.3">
      <c r="A5" s="5" t="s">
        <v>39</v>
      </c>
      <c r="B5" s="3">
        <v>85000</v>
      </c>
      <c r="C5" s="3">
        <v>68750</v>
      </c>
      <c r="D5" s="3">
        <v>74166.666666666672</v>
      </c>
    </row>
    <row r="6" spans="1:4" x14ac:dyDescent="0.3">
      <c r="A6" s="5" t="s">
        <v>38</v>
      </c>
      <c r="B6" s="3">
        <v>78181.818181818177</v>
      </c>
      <c r="C6" s="3">
        <v>72727.272727272721</v>
      </c>
      <c r="D6" s="3">
        <v>75454.545454545456</v>
      </c>
    </row>
    <row r="7" spans="1:4" x14ac:dyDescent="0.3">
      <c r="A7" s="5" t="s">
        <v>42</v>
      </c>
      <c r="B7" s="3">
        <v>80000</v>
      </c>
      <c r="C7" s="3">
        <v>71052.631578947374</v>
      </c>
      <c r="D7" s="3">
        <v>75000</v>
      </c>
    </row>
    <row r="23" spans="1:4" x14ac:dyDescent="0.3">
      <c r="A23" s="4" t="s">
        <v>45</v>
      </c>
      <c r="B23" s="4" t="s">
        <v>44</v>
      </c>
    </row>
    <row r="24" spans="1:4" x14ac:dyDescent="0.3">
      <c r="A24" s="4" t="s">
        <v>41</v>
      </c>
      <c r="B24" t="s">
        <v>18</v>
      </c>
      <c r="C24" t="s">
        <v>15</v>
      </c>
      <c r="D24" t="s">
        <v>42</v>
      </c>
    </row>
    <row r="25" spans="1:4" x14ac:dyDescent="0.3">
      <c r="A25" s="5" t="s">
        <v>16</v>
      </c>
      <c r="B25" s="10">
        <v>2</v>
      </c>
      <c r="C25" s="10">
        <v>9</v>
      </c>
      <c r="D25" s="10">
        <v>11</v>
      </c>
    </row>
    <row r="26" spans="1:4" x14ac:dyDescent="0.3">
      <c r="A26" s="5" t="s">
        <v>30</v>
      </c>
      <c r="B26" s="10">
        <v>4</v>
      </c>
      <c r="C26" s="10">
        <v>2</v>
      </c>
      <c r="D26" s="10">
        <v>6</v>
      </c>
    </row>
    <row r="27" spans="1:4" x14ac:dyDescent="0.3">
      <c r="A27" s="5" t="s">
        <v>26</v>
      </c>
      <c r="B27" s="10">
        <v>2</v>
      </c>
      <c r="C27" s="10">
        <v>3</v>
      </c>
      <c r="D27" s="10">
        <v>5</v>
      </c>
    </row>
    <row r="28" spans="1:4" x14ac:dyDescent="0.3">
      <c r="A28" s="5" t="s">
        <v>22</v>
      </c>
      <c r="B28" s="10">
        <v>4</v>
      </c>
      <c r="C28" s="10">
        <v>3</v>
      </c>
      <c r="D28" s="10">
        <v>7</v>
      </c>
    </row>
    <row r="29" spans="1:4" x14ac:dyDescent="0.3">
      <c r="A29" s="5" t="s">
        <v>23</v>
      </c>
      <c r="B29" s="10">
        <v>3</v>
      </c>
      <c r="C29" s="10">
        <v>2</v>
      </c>
      <c r="D29" s="10">
        <v>5</v>
      </c>
    </row>
    <row r="30" spans="1:4" x14ac:dyDescent="0.3">
      <c r="A30" s="5" t="s">
        <v>42</v>
      </c>
      <c r="B30" s="10">
        <v>15</v>
      </c>
      <c r="C30" s="10">
        <v>19</v>
      </c>
      <c r="D30" s="10">
        <v>34</v>
      </c>
    </row>
    <row r="45" spans="1:4" x14ac:dyDescent="0.3">
      <c r="A45" s="4" t="s">
        <v>45</v>
      </c>
      <c r="B45" s="4" t="s">
        <v>44</v>
      </c>
    </row>
    <row r="46" spans="1:4" x14ac:dyDescent="0.3">
      <c r="A46" s="4" t="s">
        <v>41</v>
      </c>
      <c r="B46" t="s">
        <v>18</v>
      </c>
      <c r="C46" t="s">
        <v>15</v>
      </c>
      <c r="D46" t="s">
        <v>42</v>
      </c>
    </row>
    <row r="47" spans="1:4" x14ac:dyDescent="0.3">
      <c r="A47" s="5" t="s">
        <v>46</v>
      </c>
      <c r="B47" s="10"/>
      <c r="C47" s="10">
        <v>3</v>
      </c>
      <c r="D47" s="10">
        <v>3</v>
      </c>
    </row>
    <row r="48" spans="1:4" x14ac:dyDescent="0.3">
      <c r="A48" s="5" t="s">
        <v>47</v>
      </c>
      <c r="B48" s="10">
        <v>11</v>
      </c>
      <c r="C48" s="10">
        <v>12</v>
      </c>
      <c r="D48" s="10">
        <v>23</v>
      </c>
    </row>
    <row r="49" spans="1:7" x14ac:dyDescent="0.3">
      <c r="A49" s="5" t="s">
        <v>48</v>
      </c>
      <c r="B49" s="10">
        <v>4</v>
      </c>
      <c r="C49" s="10">
        <v>4</v>
      </c>
      <c r="D49" s="10">
        <v>8</v>
      </c>
    </row>
    <row r="50" spans="1:7" x14ac:dyDescent="0.3">
      <c r="A50" s="5" t="s">
        <v>42</v>
      </c>
      <c r="B50" s="10">
        <v>15</v>
      </c>
      <c r="C50" s="10">
        <v>19</v>
      </c>
      <c r="D50" s="10">
        <v>34</v>
      </c>
    </row>
    <row r="63" spans="1:7" x14ac:dyDescent="0.3">
      <c r="B63" s="4" t="s">
        <v>44</v>
      </c>
    </row>
    <row r="64" spans="1:7" x14ac:dyDescent="0.3">
      <c r="B64" t="s">
        <v>18</v>
      </c>
      <c r="D64" t="s">
        <v>15</v>
      </c>
      <c r="F64" t="s">
        <v>49</v>
      </c>
      <c r="G64" t="s">
        <v>50</v>
      </c>
    </row>
    <row r="65" spans="1:7" x14ac:dyDescent="0.3">
      <c r="A65" s="4" t="s">
        <v>41</v>
      </c>
      <c r="B65" t="s">
        <v>45</v>
      </c>
      <c r="C65" t="s">
        <v>51</v>
      </c>
      <c r="D65" t="s">
        <v>45</v>
      </c>
      <c r="E65" t="s">
        <v>51</v>
      </c>
    </row>
    <row r="66" spans="1:7" x14ac:dyDescent="0.3">
      <c r="A66" s="5">
        <v>26</v>
      </c>
      <c r="B66" s="10"/>
      <c r="C66" s="10"/>
      <c r="D66" s="10">
        <v>2</v>
      </c>
      <c r="E66" s="10">
        <v>52</v>
      </c>
      <c r="F66" s="10">
        <v>2</v>
      </c>
      <c r="G66" s="10">
        <v>52</v>
      </c>
    </row>
    <row r="67" spans="1:7" x14ac:dyDescent="0.3">
      <c r="A67" s="5">
        <v>27</v>
      </c>
      <c r="B67" s="10"/>
      <c r="C67" s="10"/>
      <c r="D67" s="10">
        <v>1</v>
      </c>
      <c r="E67" s="10">
        <v>27</v>
      </c>
      <c r="F67" s="10">
        <v>1</v>
      </c>
      <c r="G67" s="10">
        <v>27</v>
      </c>
    </row>
    <row r="68" spans="1:7" x14ac:dyDescent="0.3">
      <c r="A68" s="5">
        <v>29</v>
      </c>
      <c r="B68" s="10"/>
      <c r="C68" s="10"/>
      <c r="D68" s="10">
        <v>1</v>
      </c>
      <c r="E68" s="10">
        <v>29</v>
      </c>
      <c r="F68" s="10">
        <v>1</v>
      </c>
      <c r="G68" s="10">
        <v>29</v>
      </c>
    </row>
    <row r="69" spans="1:7" x14ac:dyDescent="0.3">
      <c r="A69" s="5">
        <v>30</v>
      </c>
      <c r="B69" s="10">
        <v>1</v>
      </c>
      <c r="C69" s="10">
        <v>30</v>
      </c>
      <c r="D69" s="10"/>
      <c r="E69" s="10"/>
      <c r="F69" s="10">
        <v>1</v>
      </c>
      <c r="G69" s="10">
        <v>30</v>
      </c>
    </row>
    <row r="70" spans="1:7" x14ac:dyDescent="0.3">
      <c r="A70" s="5">
        <v>32</v>
      </c>
      <c r="B70" s="10">
        <v>1</v>
      </c>
      <c r="C70" s="10">
        <v>32</v>
      </c>
      <c r="D70" s="10">
        <v>1</v>
      </c>
      <c r="E70" s="10">
        <v>32</v>
      </c>
      <c r="F70" s="10">
        <v>2</v>
      </c>
      <c r="G70" s="10">
        <v>64</v>
      </c>
    </row>
    <row r="71" spans="1:7" x14ac:dyDescent="0.3">
      <c r="A71" s="5">
        <v>36</v>
      </c>
      <c r="B71" s="10"/>
      <c r="C71" s="10"/>
      <c r="D71" s="10">
        <v>1</v>
      </c>
      <c r="E71" s="10">
        <v>36</v>
      </c>
      <c r="F71" s="10">
        <v>1</v>
      </c>
      <c r="G71" s="10">
        <v>36</v>
      </c>
    </row>
    <row r="72" spans="1:7" x14ac:dyDescent="0.3">
      <c r="A72" s="5">
        <v>37</v>
      </c>
      <c r="B72" s="10">
        <v>1</v>
      </c>
      <c r="C72" s="10">
        <v>37</v>
      </c>
      <c r="D72" s="10">
        <v>1</v>
      </c>
      <c r="E72" s="10">
        <v>37</v>
      </c>
      <c r="F72" s="10">
        <v>2</v>
      </c>
      <c r="G72" s="10">
        <v>74</v>
      </c>
    </row>
    <row r="73" spans="1:7" x14ac:dyDescent="0.3">
      <c r="A73" s="5">
        <v>38</v>
      </c>
      <c r="B73" s="10"/>
      <c r="C73" s="10"/>
      <c r="D73" s="10">
        <v>2</v>
      </c>
      <c r="E73" s="10">
        <v>76</v>
      </c>
      <c r="F73" s="10">
        <v>2</v>
      </c>
      <c r="G73" s="10">
        <v>76</v>
      </c>
    </row>
    <row r="74" spans="1:7" x14ac:dyDescent="0.3">
      <c r="A74" s="5">
        <v>40</v>
      </c>
      <c r="B74" s="10">
        <v>2</v>
      </c>
      <c r="C74" s="10">
        <v>80</v>
      </c>
      <c r="D74" s="10">
        <v>1</v>
      </c>
      <c r="E74" s="10">
        <v>40</v>
      </c>
      <c r="F74" s="10">
        <v>3</v>
      </c>
      <c r="G74" s="10">
        <v>120</v>
      </c>
    </row>
    <row r="75" spans="1:7" x14ac:dyDescent="0.3">
      <c r="A75" s="5">
        <v>41</v>
      </c>
      <c r="B75" s="10">
        <v>1</v>
      </c>
      <c r="C75" s="10">
        <v>41</v>
      </c>
      <c r="D75" s="10">
        <v>1</v>
      </c>
      <c r="E75" s="10">
        <v>41</v>
      </c>
      <c r="F75" s="10">
        <v>2</v>
      </c>
      <c r="G75" s="10">
        <v>82</v>
      </c>
    </row>
    <row r="76" spans="1:7" x14ac:dyDescent="0.3">
      <c r="A76" s="5">
        <v>43</v>
      </c>
      <c r="B76" s="10">
        <v>1</v>
      </c>
      <c r="C76" s="10">
        <v>43</v>
      </c>
      <c r="D76" s="10">
        <v>1</v>
      </c>
      <c r="E76" s="10">
        <v>43</v>
      </c>
      <c r="F76" s="10">
        <v>2</v>
      </c>
      <c r="G76" s="10">
        <v>86</v>
      </c>
    </row>
    <row r="77" spans="1:7" x14ac:dyDescent="0.3">
      <c r="A77" s="5">
        <v>46</v>
      </c>
      <c r="B77" s="10">
        <v>2</v>
      </c>
      <c r="C77" s="10">
        <v>92</v>
      </c>
      <c r="D77" s="10">
        <v>1</v>
      </c>
      <c r="E77" s="10">
        <v>46</v>
      </c>
      <c r="F77" s="10">
        <v>3</v>
      </c>
      <c r="G77" s="10">
        <v>138</v>
      </c>
    </row>
    <row r="78" spans="1:7" x14ac:dyDescent="0.3">
      <c r="A78" s="5">
        <v>47</v>
      </c>
      <c r="B78" s="10">
        <v>3</v>
      </c>
      <c r="C78" s="10">
        <v>141</v>
      </c>
      <c r="D78" s="10">
        <v>2</v>
      </c>
      <c r="E78" s="10">
        <v>94</v>
      </c>
      <c r="F78" s="10">
        <v>5</v>
      </c>
      <c r="G78" s="10">
        <v>235</v>
      </c>
    </row>
    <row r="79" spans="1:7" x14ac:dyDescent="0.3">
      <c r="A79" s="5">
        <v>48</v>
      </c>
      <c r="B79" s="10">
        <v>1</v>
      </c>
      <c r="C79" s="10">
        <v>48</v>
      </c>
      <c r="D79" s="10">
        <v>1</v>
      </c>
      <c r="E79" s="10">
        <v>48</v>
      </c>
      <c r="F79" s="10">
        <v>2</v>
      </c>
      <c r="G79" s="10">
        <v>96</v>
      </c>
    </row>
    <row r="80" spans="1:7" x14ac:dyDescent="0.3">
      <c r="A80" s="5">
        <v>52</v>
      </c>
      <c r="B80" s="10"/>
      <c r="C80" s="10"/>
      <c r="D80" s="10">
        <v>1</v>
      </c>
      <c r="E80" s="10">
        <v>52</v>
      </c>
      <c r="F80" s="10">
        <v>1</v>
      </c>
      <c r="G80" s="10">
        <v>52</v>
      </c>
    </row>
    <row r="81" spans="1:7" x14ac:dyDescent="0.3">
      <c r="A81" s="5">
        <v>65</v>
      </c>
      <c r="B81" s="10">
        <v>1</v>
      </c>
      <c r="C81" s="10">
        <v>65</v>
      </c>
      <c r="D81" s="10"/>
      <c r="E81" s="10"/>
      <c r="F81" s="10">
        <v>1</v>
      </c>
      <c r="G81" s="10">
        <v>65</v>
      </c>
    </row>
    <row r="82" spans="1:7" x14ac:dyDescent="0.3">
      <c r="A82" s="5">
        <v>66</v>
      </c>
      <c r="B82" s="10"/>
      <c r="C82" s="10"/>
      <c r="D82" s="10">
        <v>2</v>
      </c>
      <c r="E82" s="10">
        <v>132</v>
      </c>
      <c r="F82" s="10">
        <v>2</v>
      </c>
      <c r="G82" s="10">
        <v>132</v>
      </c>
    </row>
    <row r="83" spans="1:7" x14ac:dyDescent="0.3">
      <c r="A83" s="5">
        <v>67</v>
      </c>
      <c r="B83" s="10">
        <v>1</v>
      </c>
      <c r="C83" s="10">
        <v>67</v>
      </c>
      <c r="D83" s="10"/>
      <c r="E83" s="10"/>
      <c r="F83" s="10">
        <v>1</v>
      </c>
      <c r="G83" s="10">
        <v>67</v>
      </c>
    </row>
    <row r="84" spans="1:7" x14ac:dyDescent="0.3">
      <c r="A84" s="5" t="s">
        <v>42</v>
      </c>
      <c r="B84" s="10">
        <v>15</v>
      </c>
      <c r="C84" s="10">
        <v>676</v>
      </c>
      <c r="D84" s="10">
        <v>19</v>
      </c>
      <c r="E84" s="10">
        <v>785</v>
      </c>
      <c r="F84" s="10">
        <v>34</v>
      </c>
      <c r="G84" s="10">
        <v>1461</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 </vt:lpstr>
      <vt:lpstr>dashboard</vt:lpstr>
      <vt:lpstr>pivot table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TownTech</dc:creator>
  <cp:lastModifiedBy>Mariam Mohamed Ahmed</cp:lastModifiedBy>
  <dcterms:created xsi:type="dcterms:W3CDTF">2022-03-18T02:50:57Z</dcterms:created>
  <dcterms:modified xsi:type="dcterms:W3CDTF">2026-06-15T03:02:39Z</dcterms:modified>
</cp:coreProperties>
</file>